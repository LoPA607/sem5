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oks\Desktop\5th_Sem\AE 345-Aircraft Propulsion Lab\SDSM\"/>
    </mc:Choice>
  </mc:AlternateContent>
  <xr:revisionPtr revIDLastSave="0" documentId="13_ncr:1_{DB4E3197-8147-4E7D-BEF2-EC0EA4C84A4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<sst xmlns="http://schemas.openxmlformats.org/spreadsheetml/2006/main" count="9" uniqueCount="9">
  <si>
    <t>Vg</t>
  </si>
  <si>
    <t>Vf</t>
  </si>
  <si>
    <t>Ug</t>
  </si>
  <si>
    <t>Uf</t>
  </si>
  <si>
    <t>MFR</t>
  </si>
  <si>
    <t>BreakUp Length</t>
  </si>
  <si>
    <t>Cone Angle</t>
  </si>
  <si>
    <t>rhog</t>
  </si>
  <si>
    <t>rhol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</si>
</sst>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30" zoomScaleNormal="130" workbookViewId="0">
      <selection activeCell="D15" sqref="D15"/>
    </sheetView>
  </sheetViews>
  <sheetFormatPr defaultRowHeight="14.4" x14ac:dyDescent="0.3"/>
  <cols>
    <col min="6" max="6" width="14" bestFit="1" customWidth="1"/>
    <col min="7" max="7" width="10.109375" bestFit="1" customWidth="1"/>
  </cols>
  <sheetData>
    <row r="1" spans="1:13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L1" t="s">
        <v>7</v>
      </c>
      <c r="M1" t="s">
        <v>8</v>
      </c>
    </row>
    <row r="2" spans="1:13" x14ac:dyDescent="0.3">
      <c r="A2">
        <v>0</v>
      </c>
      <c r="B2">
        <f>(A2*50)/(7.065*3)</f>
        <v>0</v>
      </c>
      <c r="C2">
        <v>3</v>
      </c>
      <c r="D2">
        <f>(C2*50)/(7.065*3)</f>
        <v>7.0771408351026182</v>
      </c>
      <c r="E2">
        <f>($L$2*B2*B2)/($M$2*D2*D2)</f>
        <v>0</v>
      </c>
      <c r="F2">
        <v>29.922000000000001</v>
      </c>
      <c r="G2">
        <v>37.6</v>
      </c>
      <c r="L2">
        <v>1.2250000000000001</v>
      </c>
      <c r="M2">
        <v>1000</v>
      </c>
    </row>
    <row r="3" spans="1:13" x14ac:dyDescent="0.3">
      <c r="A3">
        <v>40</v>
      </c>
      <c r="B3">
        <f t="shared" ref="B3:B11" si="0">(A3*50)/(7.065*3)</f>
        <v>94.361877801368252</v>
      </c>
      <c r="C3">
        <v>3</v>
      </c>
      <c r="D3">
        <f t="shared" ref="D3:D11" si="1">(C3*50)/(7.065*3)</f>
        <v>7.0771408351026182</v>
      </c>
      <c r="E3">
        <f t="shared" ref="E3:E11" si="2">($L$2*B3*B3)/($M$2*D3*D3)</f>
        <v>0.21777777777777782</v>
      </c>
      <c r="F3">
        <v>22.5</v>
      </c>
      <c r="G3">
        <v>36.064</v>
      </c>
    </row>
    <row r="4" spans="1:13" x14ac:dyDescent="0.3">
      <c r="A4">
        <v>60</v>
      </c>
      <c r="B4">
        <f t="shared" si="0"/>
        <v>141.54281670205236</v>
      </c>
      <c r="C4">
        <v>3</v>
      </c>
      <c r="D4">
        <f t="shared" si="1"/>
        <v>7.0771408351026182</v>
      </c>
      <c r="E4">
        <f t="shared" si="2"/>
        <v>0.49</v>
      </c>
      <c r="F4">
        <v>17.187999999999999</v>
      </c>
      <c r="G4">
        <v>35.933</v>
      </c>
    </row>
    <row r="5" spans="1:13" x14ac:dyDescent="0.3">
      <c r="A5">
        <v>80</v>
      </c>
      <c r="B5">
        <f t="shared" si="0"/>
        <v>188.7237556027365</v>
      </c>
      <c r="C5">
        <v>3</v>
      </c>
      <c r="D5">
        <f t="shared" si="1"/>
        <v>7.0771408351026182</v>
      </c>
      <c r="E5">
        <f t="shared" si="2"/>
        <v>0.87111111111111128</v>
      </c>
      <c r="F5">
        <v>10.859</v>
      </c>
      <c r="G5">
        <v>35.537999999999997</v>
      </c>
    </row>
    <row r="6" spans="1:13" x14ac:dyDescent="0.3">
      <c r="A6">
        <v>100</v>
      </c>
      <c r="B6">
        <f t="shared" si="0"/>
        <v>235.90469450342061</v>
      </c>
      <c r="C6">
        <v>3</v>
      </c>
      <c r="D6">
        <f t="shared" si="1"/>
        <v>7.0771408351026182</v>
      </c>
      <c r="E6">
        <f t="shared" si="2"/>
        <v>1.3611111111111114</v>
      </c>
      <c r="F6">
        <v>5.4690000000000003</v>
      </c>
      <c r="G6">
        <v>30.7</v>
      </c>
    </row>
    <row r="7" spans="1:13" x14ac:dyDescent="0.3">
      <c r="A7">
        <v>0</v>
      </c>
      <c r="B7">
        <f t="shared" si="0"/>
        <v>0</v>
      </c>
      <c r="C7">
        <v>4</v>
      </c>
      <c r="D7">
        <f t="shared" si="1"/>
        <v>9.4361877801368248</v>
      </c>
      <c r="E7">
        <f t="shared" si="2"/>
        <v>0</v>
      </c>
      <c r="F7">
        <v>26.484000000000002</v>
      </c>
      <c r="G7">
        <v>37.567999999999998</v>
      </c>
    </row>
    <row r="8" spans="1:13" x14ac:dyDescent="0.3">
      <c r="A8">
        <v>40</v>
      </c>
      <c r="B8">
        <f t="shared" si="0"/>
        <v>94.361877801368252</v>
      </c>
      <c r="C8">
        <v>4</v>
      </c>
      <c r="D8">
        <f t="shared" si="1"/>
        <v>9.4361877801368248</v>
      </c>
      <c r="E8">
        <f t="shared" si="2"/>
        <v>0.12250000000000003</v>
      </c>
      <c r="F8">
        <v>19.375</v>
      </c>
      <c r="G8">
        <v>35.200000000000003</v>
      </c>
    </row>
    <row r="9" spans="1:13" x14ac:dyDescent="0.3">
      <c r="A9">
        <v>60</v>
      </c>
      <c r="B9">
        <f t="shared" si="0"/>
        <v>141.54281670205236</v>
      </c>
      <c r="C9">
        <v>4</v>
      </c>
      <c r="D9">
        <f t="shared" si="1"/>
        <v>9.4361877801368248</v>
      </c>
      <c r="E9">
        <f t="shared" si="2"/>
        <v>0.27562500000000001</v>
      </c>
      <c r="F9">
        <v>14.843999999999999</v>
      </c>
      <c r="G9">
        <v>36.146000000000001</v>
      </c>
    </row>
    <row r="10" spans="1:13" x14ac:dyDescent="0.3">
      <c r="A10">
        <v>80</v>
      </c>
      <c r="B10">
        <f t="shared" si="0"/>
        <v>188.7237556027365</v>
      </c>
      <c r="C10">
        <v>4</v>
      </c>
      <c r="D10">
        <f t="shared" si="1"/>
        <v>9.4361877801368248</v>
      </c>
      <c r="E10">
        <f t="shared" si="2"/>
        <v>0.4900000000000001</v>
      </c>
      <c r="F10">
        <v>10.781000000000001</v>
      </c>
      <c r="G10">
        <v>35.628999999999998</v>
      </c>
    </row>
    <row r="11" spans="1:13" x14ac:dyDescent="0.3">
      <c r="A11">
        <v>100</v>
      </c>
      <c r="B11">
        <f t="shared" si="0"/>
        <v>235.90469450342061</v>
      </c>
      <c r="C11">
        <v>4</v>
      </c>
      <c r="D11">
        <f t="shared" si="1"/>
        <v>9.4361877801368248</v>
      </c>
      <c r="E11">
        <f t="shared" si="2"/>
        <v>0.76562500000000011</v>
      </c>
      <c r="F11">
        <v>5.1559999999999997</v>
      </c>
      <c r="G11">
        <v>31.957000000000001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Krishna</dc:creator>
  <cp:lastModifiedBy>Atul Krishna</cp:lastModifiedBy>
  <dcterms:created xsi:type="dcterms:W3CDTF">2015-06-05T18:17:20Z</dcterms:created>
  <dcterms:modified xsi:type="dcterms:W3CDTF">2024-09-08T15:54:14Z</dcterms:modified>
</cp:coreProperties>
</file>