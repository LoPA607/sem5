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vi\OneDrive - Indian Institute of Technology Bombay\Sem 5\AE 343(aero lab)\Airfoil\"/>
    </mc:Choice>
  </mc:AlternateContent>
  <xr:revisionPtr revIDLastSave="0" documentId="13_ncr:1_{0F9615CB-B3AD-42E7-9C7F-0E699CCEA0D1}" xr6:coauthVersionLast="47" xr6:coauthVersionMax="47" xr10:uidLastSave="{00000000-0000-0000-0000-000000000000}"/>
  <bookViews>
    <workbookView xWindow="0" yWindow="3672" windowWidth="17280" windowHeight="7224" activeTab="2" xr2:uid="{27F9D271-CF0C-44DE-9078-1D13CDBD3CC4}"/>
  </bookViews>
  <sheets>
    <sheet name="0" sheetId="1" r:id="rId1"/>
    <sheet name="3" sheetId="2" r:id="rId2"/>
    <sheet name="-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3" l="1"/>
  <c r="E82" i="3" s="1"/>
  <c r="D81" i="3"/>
  <c r="E81" i="3"/>
  <c r="D80" i="3"/>
  <c r="E80" i="3"/>
  <c r="D79" i="3"/>
  <c r="E79" i="3" s="1"/>
  <c r="D78" i="3"/>
  <c r="E78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D77" i="3"/>
  <c r="E77" i="3"/>
  <c r="D76" i="3"/>
  <c r="E76" i="3" s="1"/>
  <c r="D75" i="3"/>
  <c r="E75" i="3" s="1"/>
  <c r="D74" i="3"/>
  <c r="E74" i="3" s="1"/>
  <c r="D73" i="3"/>
  <c r="E73" i="3"/>
  <c r="D72" i="3"/>
  <c r="E72" i="3" s="1"/>
  <c r="D71" i="3"/>
  <c r="E71" i="3"/>
  <c r="D70" i="3"/>
  <c r="E70" i="3" s="1"/>
  <c r="D69" i="3"/>
  <c r="E69" i="3"/>
  <c r="D68" i="3"/>
  <c r="E68" i="3"/>
  <c r="D67" i="3"/>
  <c r="E67" i="3" s="1"/>
  <c r="D66" i="3"/>
  <c r="E66" i="3"/>
  <c r="D65" i="3"/>
  <c r="E65" i="3"/>
  <c r="D64" i="3"/>
  <c r="E64" i="3"/>
  <c r="D63" i="3"/>
  <c r="E63" i="3"/>
  <c r="D62" i="3"/>
  <c r="E62" i="3"/>
  <c r="D61" i="3"/>
  <c r="E61" i="3" s="1"/>
  <c r="D60" i="3"/>
  <c r="E60" i="3"/>
  <c r="D59" i="3"/>
  <c r="E59" i="3"/>
  <c r="D58" i="3"/>
  <c r="E58" i="3" s="1"/>
  <c r="D57" i="3"/>
  <c r="E57" i="3" s="1"/>
  <c r="D56" i="3"/>
  <c r="E56" i="3"/>
  <c r="D55" i="3"/>
  <c r="E55" i="3" s="1"/>
  <c r="D54" i="3"/>
  <c r="E54" i="3" s="1"/>
  <c r="D53" i="3"/>
  <c r="E53" i="3"/>
  <c r="D52" i="3"/>
  <c r="E52" i="3"/>
  <c r="D51" i="3"/>
  <c r="E51" i="3"/>
  <c r="D50" i="3"/>
  <c r="E50" i="3" s="1"/>
  <c r="D49" i="3"/>
  <c r="E49" i="3"/>
  <c r="D48" i="3"/>
  <c r="E48" i="3"/>
  <c r="D47" i="3"/>
  <c r="E47" i="3"/>
  <c r="D46" i="3"/>
  <c r="E46" i="3"/>
  <c r="D45" i="3"/>
  <c r="E45" i="3" s="1"/>
  <c r="D44" i="3"/>
  <c r="E44" i="3"/>
  <c r="D43" i="3"/>
  <c r="E43" i="3"/>
  <c r="D42" i="3"/>
  <c r="E42" i="3" s="1"/>
  <c r="D41" i="3"/>
  <c r="E41" i="3" s="1"/>
  <c r="D40" i="3"/>
  <c r="E40" i="3" s="1"/>
  <c r="D39" i="3"/>
  <c r="E39" i="3" s="1"/>
  <c r="D38" i="3"/>
  <c r="E38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2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E35" i="3" s="1"/>
  <c r="D36" i="3"/>
  <c r="E36" i="3" s="1"/>
  <c r="D37" i="3"/>
  <c r="E37" i="3" s="1"/>
  <c r="D2" i="3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93" i="1"/>
  <c r="I2" i="1"/>
  <c r="F3" i="1"/>
  <c r="G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G18" i="1" s="1"/>
  <c r="F19" i="1"/>
  <c r="G19" i="1" s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G34" i="1" s="1"/>
  <c r="F35" i="1"/>
  <c r="G35" i="1" s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G50" i="1" s="1"/>
  <c r="F51" i="1"/>
  <c r="G51" i="1" s="1"/>
  <c r="F52" i="1"/>
  <c r="F53" i="1"/>
  <c r="F54" i="1"/>
  <c r="F55" i="1"/>
  <c r="F56" i="1"/>
  <c r="F57" i="1"/>
  <c r="F58" i="1"/>
  <c r="F59" i="1"/>
  <c r="F60" i="1"/>
  <c r="F61" i="1"/>
  <c r="G61" i="1" s="1"/>
  <c r="F62" i="1"/>
  <c r="G62" i="1" s="1"/>
  <c r="F63" i="1"/>
  <c r="F64" i="1"/>
  <c r="F65" i="1"/>
  <c r="F66" i="1"/>
  <c r="G66" i="1" s="1"/>
  <c r="F67" i="1"/>
  <c r="G67" i="1" s="1"/>
  <c r="F68" i="1"/>
  <c r="F69" i="1"/>
  <c r="F70" i="1"/>
  <c r="F71" i="1"/>
  <c r="F72" i="1"/>
  <c r="F73" i="1"/>
  <c r="G73" i="1" s="1"/>
  <c r="F74" i="1"/>
  <c r="G74" i="1" s="1"/>
  <c r="F75" i="1"/>
  <c r="F76" i="1"/>
  <c r="F77" i="1"/>
  <c r="F78" i="1"/>
  <c r="F79" i="1"/>
  <c r="G79" i="1" s="1"/>
  <c r="F80" i="1"/>
  <c r="F81" i="1"/>
  <c r="F82" i="1"/>
  <c r="G82" i="1" s="1"/>
  <c r="F83" i="1"/>
  <c r="G83" i="1" s="1"/>
  <c r="I83" i="1" s="1"/>
  <c r="F84" i="1"/>
  <c r="F85" i="1"/>
  <c r="F86" i="1"/>
  <c r="F87" i="1"/>
  <c r="F88" i="1"/>
  <c r="F89" i="1"/>
  <c r="F90" i="1"/>
  <c r="F91" i="1"/>
  <c r="F92" i="1"/>
  <c r="F93" i="1"/>
  <c r="F94" i="1"/>
  <c r="G94" i="1" s="1"/>
  <c r="I94" i="1" s="1"/>
  <c r="F95" i="1"/>
  <c r="F96" i="1"/>
  <c r="F97" i="1"/>
  <c r="F98" i="1"/>
  <c r="G98" i="1" s="1"/>
  <c r="I98" i="1" s="1"/>
  <c r="F99" i="1"/>
  <c r="G99" i="1" s="1"/>
  <c r="I99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2" i="1"/>
  <c r="G53" i="1"/>
  <c r="G54" i="1"/>
  <c r="G55" i="1"/>
  <c r="G56" i="1"/>
  <c r="G57" i="1"/>
  <c r="G58" i="1"/>
  <c r="G59" i="1"/>
  <c r="G60" i="1"/>
  <c r="G63" i="1"/>
  <c r="G64" i="1"/>
  <c r="G65" i="1"/>
  <c r="G68" i="1"/>
  <c r="G69" i="1"/>
  <c r="G70" i="1"/>
  <c r="G71" i="1"/>
  <c r="G72" i="1"/>
  <c r="G75" i="1"/>
  <c r="G76" i="1"/>
  <c r="G77" i="1"/>
  <c r="G78" i="1"/>
  <c r="G80" i="1"/>
  <c r="G81" i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G95" i="1"/>
  <c r="I95" i="1" s="1"/>
  <c r="G96" i="1"/>
  <c r="I96" i="1" s="1"/>
  <c r="G97" i="1"/>
  <c r="I97" i="1" s="1"/>
  <c r="G2" i="1"/>
  <c r="F2" i="1"/>
</calcChain>
</file>

<file path=xl/sharedStrings.xml><?xml version="1.0" encoding="utf-8"?>
<sst xmlns="http://schemas.openxmlformats.org/spreadsheetml/2006/main" count="19" uniqueCount="12">
  <si>
    <t>y</t>
  </si>
  <si>
    <t>dynamic pressure</t>
  </si>
  <si>
    <t>v</t>
  </si>
  <si>
    <t>density</t>
  </si>
  <si>
    <t>Temp</t>
  </si>
  <si>
    <t>pressure</t>
  </si>
  <si>
    <t>velocity</t>
  </si>
  <si>
    <t>Yo</t>
  </si>
  <si>
    <t>Vo</t>
  </si>
  <si>
    <t>y0</t>
  </si>
  <si>
    <t>V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</si>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</sst>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'0'!$G$2:$G$223</c:f>
              <c:numCache>
                <c:formatCode>General</c:formatCode>
                <c:ptCount val="222"/>
                <c:pt idx="0">
                  <c:v>17.564042109413169</c:v>
                </c:pt>
                <c:pt idx="1">
                  <c:v>17.574116123496051</c:v>
                </c:pt>
                <c:pt idx="2">
                  <c:v>17.553962313972136</c:v>
                </c:pt>
                <c:pt idx="3">
                  <c:v>17.579150965634444</c:v>
                </c:pt>
                <c:pt idx="4">
                  <c:v>17.574116123496051</c:v>
                </c:pt>
                <c:pt idx="5">
                  <c:v>17.579150965634444</c:v>
                </c:pt>
                <c:pt idx="6">
                  <c:v>17.564042109413169</c:v>
                </c:pt>
                <c:pt idx="7">
                  <c:v>17.559002934984562</c:v>
                </c:pt>
                <c:pt idx="8">
                  <c:v>17.553962313972136</c:v>
                </c:pt>
                <c:pt idx="9">
                  <c:v>17.564042109413169</c:v>
                </c:pt>
                <c:pt idx="10">
                  <c:v>17.589216326302072</c:v>
                </c:pt>
                <c:pt idx="11">
                  <c:v>17.579150965634444</c:v>
                </c:pt>
                <c:pt idx="12">
                  <c:v>17.589216326302072</c:v>
                </c:pt>
                <c:pt idx="13">
                  <c:v>17.553962313972136</c:v>
                </c:pt>
                <c:pt idx="14">
                  <c:v>17.553962313972136</c:v>
                </c:pt>
                <c:pt idx="15">
                  <c:v>17.59424684730477</c:v>
                </c:pt>
                <c:pt idx="16">
                  <c:v>17.569079838502685</c:v>
                </c:pt>
                <c:pt idx="17">
                  <c:v>17.569079838502685</c:v>
                </c:pt>
                <c:pt idx="18">
                  <c:v>17.559002934984562</c:v>
                </c:pt>
                <c:pt idx="19">
                  <c:v>17.574116123496051</c:v>
                </c:pt>
                <c:pt idx="20">
                  <c:v>17.579150965634444</c:v>
                </c:pt>
                <c:pt idx="21">
                  <c:v>17.574116123496051</c:v>
                </c:pt>
                <c:pt idx="22">
                  <c:v>17.569079838502685</c:v>
                </c:pt>
                <c:pt idx="23">
                  <c:v>17.569079838502685</c:v>
                </c:pt>
                <c:pt idx="24">
                  <c:v>17.579150965634444</c:v>
                </c:pt>
                <c:pt idx="25">
                  <c:v>17.574116123496051</c:v>
                </c:pt>
                <c:pt idx="26">
                  <c:v>17.579150965634444</c:v>
                </c:pt>
                <c:pt idx="27">
                  <c:v>17.584184366157245</c:v>
                </c:pt>
                <c:pt idx="28">
                  <c:v>17.569079838502685</c:v>
                </c:pt>
                <c:pt idx="29">
                  <c:v>17.559002934984562</c:v>
                </c:pt>
                <c:pt idx="30">
                  <c:v>17.564042109413169</c:v>
                </c:pt>
                <c:pt idx="31">
                  <c:v>17.553962313972136</c:v>
                </c:pt>
                <c:pt idx="32">
                  <c:v>17.569079838502685</c:v>
                </c:pt>
                <c:pt idx="33">
                  <c:v>17.553962313972136</c:v>
                </c:pt>
                <c:pt idx="34">
                  <c:v>17.559002934984562</c:v>
                </c:pt>
                <c:pt idx="35">
                  <c:v>17.564042109413169</c:v>
                </c:pt>
                <c:pt idx="36">
                  <c:v>17.579150965634444</c:v>
                </c:pt>
                <c:pt idx="37">
                  <c:v>17.548920245129374</c:v>
                </c:pt>
                <c:pt idx="38">
                  <c:v>17.569079838502685</c:v>
                </c:pt>
                <c:pt idx="39">
                  <c:v>17.538831758957794</c:v>
                </c:pt>
                <c:pt idx="40">
                  <c:v>17.538831758957794</c:v>
                </c:pt>
                <c:pt idx="41">
                  <c:v>17.533785339126975</c:v>
                </c:pt>
                <c:pt idx="42">
                  <c:v>17.543876727207959</c:v>
                </c:pt>
                <c:pt idx="43">
                  <c:v>17.528737466461799</c:v>
                </c:pt>
                <c:pt idx="44">
                  <c:v>17.538831758957794</c:v>
                </c:pt>
                <c:pt idx="45">
                  <c:v>17.553962313972136</c:v>
                </c:pt>
                <c:pt idx="46">
                  <c:v>17.564042109413169</c:v>
                </c:pt>
                <c:pt idx="47">
                  <c:v>17.553962313972136</c:v>
                </c:pt>
                <c:pt idx="48">
                  <c:v>17.543876727207959</c:v>
                </c:pt>
                <c:pt idx="49">
                  <c:v>17.548920245129374</c:v>
                </c:pt>
                <c:pt idx="50">
                  <c:v>17.548920245129374</c:v>
                </c:pt>
                <c:pt idx="51">
                  <c:v>17.528737466461799</c:v>
                </c:pt>
                <c:pt idx="52">
                  <c:v>17.523688139706753</c:v>
                </c:pt>
                <c:pt idx="53">
                  <c:v>17.498419650513778</c:v>
                </c:pt>
                <c:pt idx="54">
                  <c:v>17.478178556809539</c:v>
                </c:pt>
                <c:pt idx="55">
                  <c:v>17.412232502122311</c:v>
                </c:pt>
                <c:pt idx="56">
                  <c:v>17.371525883019739</c:v>
                </c:pt>
                <c:pt idx="57">
                  <c:v>17.330723651968057</c:v>
                </c:pt>
                <c:pt idx="58">
                  <c:v>17.218018962446013</c:v>
                </c:pt>
                <c:pt idx="59">
                  <c:v>17.14074997584742</c:v>
                </c:pt>
                <c:pt idx="60">
                  <c:v>17.037179541393105</c:v>
                </c:pt>
                <c:pt idx="61">
                  <c:v>16.932975630904753</c:v>
                </c:pt>
                <c:pt idx="62">
                  <c:v>16.828126476466853</c:v>
                </c:pt>
                <c:pt idx="63">
                  <c:v>16.727911072502675</c:v>
                </c:pt>
                <c:pt idx="64">
                  <c:v>16.63241317853765</c:v>
                </c:pt>
                <c:pt idx="65">
                  <c:v>16.536363791161236</c:v>
                </c:pt>
                <c:pt idx="66">
                  <c:v>16.482761174305825</c:v>
                </c:pt>
                <c:pt idx="67">
                  <c:v>16.455894390065559</c:v>
                </c:pt>
                <c:pt idx="68">
                  <c:v>16.445135386372051</c:v>
                </c:pt>
                <c:pt idx="69">
                  <c:v>16.493495634039757</c:v>
                </c:pt>
                <c:pt idx="70">
                  <c:v>16.589793215650793</c:v>
                </c:pt>
                <c:pt idx="71">
                  <c:v>16.7067364930374</c:v>
                </c:pt>
                <c:pt idx="72">
                  <c:v>16.812342705781283</c:v>
                </c:pt>
                <c:pt idx="73">
                  <c:v>16.95386765073339</c:v>
                </c:pt>
                <c:pt idx="74">
                  <c:v>17.068316660652819</c:v>
                </c:pt>
                <c:pt idx="75">
                  <c:v>17.166544949020047</c:v>
                </c:pt>
                <c:pt idx="76">
                  <c:v>17.320508075688775</c:v>
                </c:pt>
                <c:pt idx="77">
                  <c:v>17.330723651968057</c:v>
                </c:pt>
                <c:pt idx="78">
                  <c:v>17.417314140199892</c:v>
                </c:pt>
                <c:pt idx="79">
                  <c:v>17.447772888281815</c:v>
                </c:pt>
                <c:pt idx="80">
                  <c:v>17.468049214575505</c:v>
                </c:pt>
                <c:pt idx="81">
                  <c:v>17.478178556809539</c:v>
                </c:pt>
                <c:pt idx="82">
                  <c:v>17.503476266614275</c:v>
                </c:pt>
                <c:pt idx="83">
                  <c:v>17.528737466461799</c:v>
                </c:pt>
                <c:pt idx="84">
                  <c:v>17.498419650513778</c:v>
                </c:pt>
                <c:pt idx="85">
                  <c:v>17.513585118895964</c:v>
                </c:pt>
                <c:pt idx="86">
                  <c:v>17.498419650513778</c:v>
                </c:pt>
                <c:pt idx="87">
                  <c:v>17.48830203206137</c:v>
                </c:pt>
                <c:pt idx="88">
                  <c:v>17.468049214575505</c:v>
                </c:pt>
                <c:pt idx="89">
                  <c:v>17.478178556809539</c:v>
                </c:pt>
                <c:pt idx="90">
                  <c:v>17.478178556809539</c:v>
                </c:pt>
                <c:pt idx="91">
                  <c:v>17.478178556809539</c:v>
                </c:pt>
                <c:pt idx="92">
                  <c:v>17.447772888281815</c:v>
                </c:pt>
                <c:pt idx="93">
                  <c:v>17.483241027171115</c:v>
                </c:pt>
                <c:pt idx="94">
                  <c:v>17.473114619702876</c:v>
                </c:pt>
                <c:pt idx="95">
                  <c:v>17.468049214575505</c:v>
                </c:pt>
                <c:pt idx="96">
                  <c:v>17.478178556809539</c:v>
                </c:pt>
                <c:pt idx="97">
                  <c:v>17.493361572752228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2-40E2-938F-5B2491B4F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429711"/>
        <c:axId val="779430191"/>
      </c:lineChart>
      <c:catAx>
        <c:axId val="77942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30191"/>
        <c:crosses val="autoZero"/>
        <c:auto val="1"/>
        <c:lblAlgn val="ctr"/>
        <c:lblOffset val="100"/>
        <c:noMultiLvlLbl val="0"/>
      </c:catAx>
      <c:valAx>
        <c:axId val="77943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'0'!$I$33:$I$91</c:f>
              <c:numCache>
                <c:formatCode>General</c:formatCode>
                <c:ptCount val="59"/>
                <c:pt idx="0">
                  <c:v>0.99965616822164793</c:v>
                </c:pt>
                <c:pt idx="1">
                  <c:v>1.0005170750855743</c:v>
                </c:pt>
                <c:pt idx="2">
                  <c:v>0.99965616822164793</c:v>
                </c:pt>
                <c:pt idx="3">
                  <c:v>0.9999432195321506</c:v>
                </c:pt>
                <c:pt idx="4">
                  <c:v>1.0002301884631646</c:v>
                </c:pt>
                <c:pt idx="5">
                  <c:v>1.0010906016876107</c:v>
                </c:pt>
                <c:pt idx="6">
                  <c:v>0.9993690344606706</c:v>
                </c:pt>
                <c:pt idx="7">
                  <c:v>1.0005170750855743</c:v>
                </c:pt>
                <c:pt idx="8">
                  <c:v>0.99879451930283569</c:v>
                </c:pt>
                <c:pt idx="9">
                  <c:v>0.99879451930283569</c:v>
                </c:pt>
                <c:pt idx="10">
                  <c:v>0.9985071377634952</c:v>
                </c:pt>
                <c:pt idx="11">
                  <c:v>0.9990818181781298</c:v>
                </c:pt>
                <c:pt idx="12">
                  <c:v>0.99821967348871299</c:v>
                </c:pt>
                <c:pt idx="13">
                  <c:v>0.99879451930283569</c:v>
                </c:pt>
                <c:pt idx="14">
                  <c:v>0.99965616822164793</c:v>
                </c:pt>
                <c:pt idx="15">
                  <c:v>1.0002301884631646</c:v>
                </c:pt>
                <c:pt idx="16">
                  <c:v>0.99965616822164793</c:v>
                </c:pt>
                <c:pt idx="17">
                  <c:v>0.9990818181781298</c:v>
                </c:pt>
                <c:pt idx="18">
                  <c:v>0.9993690344606706</c:v>
                </c:pt>
                <c:pt idx="19">
                  <c:v>0.9993690344606706</c:v>
                </c:pt>
                <c:pt idx="20">
                  <c:v>0.99821967348871299</c:v>
                </c:pt>
                <c:pt idx="21">
                  <c:v>0.99793212640699058</c:v>
                </c:pt>
                <c:pt idx="22">
                  <c:v>0.99649314638461162</c:v>
                </c:pt>
                <c:pt idx="23">
                  <c:v>0.99534046451079383</c:v>
                </c:pt>
                <c:pt idx="24">
                  <c:v>0.99158499442609982</c:v>
                </c:pt>
                <c:pt idx="25">
                  <c:v>0.98926684983028135</c:v>
                </c:pt>
                <c:pt idx="26">
                  <c:v>0.98694326036264568</c:v>
                </c:pt>
                <c:pt idx="27">
                  <c:v>0.98052499786139036</c:v>
                </c:pt>
                <c:pt idx="28">
                  <c:v>0.97612471388652744</c:v>
                </c:pt>
                <c:pt idx="29">
                  <c:v>0.97022662536407211</c:v>
                </c:pt>
                <c:pt idx="30">
                  <c:v>0.9642924618966261</c:v>
                </c:pt>
                <c:pt idx="31">
                  <c:v>0.95832155332954749</c:v>
                </c:pt>
                <c:pt idx="32">
                  <c:v>0.95261452576894512</c:v>
                </c:pt>
                <c:pt idx="33">
                  <c:v>0.94717614911945625</c:v>
                </c:pt>
                <c:pt idx="34">
                  <c:v>0.94170636623925041</c:v>
                </c:pt>
                <c:pt idx="35">
                  <c:v>0.93865382541604936</c:v>
                </c:pt>
                <c:pt idx="36">
                  <c:v>0.93712382631352853</c:v>
                </c:pt>
                <c:pt idx="37">
                  <c:v>0.93651112678656334</c:v>
                </c:pt>
                <c:pt idx="38">
                  <c:v>0.93926512722322086</c:v>
                </c:pt>
                <c:pt idx="39">
                  <c:v>0.94474904417145755</c:v>
                </c:pt>
                <c:pt idx="40">
                  <c:v>0.95140868411374724</c:v>
                </c:pt>
                <c:pt idx="41">
                  <c:v>0.9574227053406198</c:v>
                </c:pt>
                <c:pt idx="42">
                  <c:v>0.96548221245634347</c:v>
                </c:pt>
                <c:pt idx="43">
                  <c:v>0.97199980983216516</c:v>
                </c:pt>
                <c:pt idx="44">
                  <c:v>0.97759367591230339</c:v>
                </c:pt>
                <c:pt idx="45">
                  <c:v>0.98636150772715125</c:v>
                </c:pt>
                <c:pt idx="46">
                  <c:v>0.98694326036264568</c:v>
                </c:pt>
                <c:pt idx="47">
                  <c:v>0.99187438156035834</c:v>
                </c:pt>
                <c:pt idx="48">
                  <c:v>0.99360893441240405</c:v>
                </c:pt>
                <c:pt idx="49">
                  <c:v>0.99476362269792173</c:v>
                </c:pt>
                <c:pt idx="50">
                  <c:v>0.99534046451079383</c:v>
                </c:pt>
                <c:pt idx="51">
                  <c:v>0.99678110857712277</c:v>
                </c:pt>
                <c:pt idx="52">
                  <c:v>0.99821967348871299</c:v>
                </c:pt>
                <c:pt idx="53">
                  <c:v>0.99649314638461162</c:v>
                </c:pt>
                <c:pt idx="54">
                  <c:v>0.99735678353621671</c:v>
                </c:pt>
                <c:pt idx="55">
                  <c:v>0.99649314638461162</c:v>
                </c:pt>
                <c:pt idx="56">
                  <c:v>0.99591697221306208</c:v>
                </c:pt>
                <c:pt idx="57">
                  <c:v>0.99476362269792173</c:v>
                </c:pt>
                <c:pt idx="58">
                  <c:v>0.99534046451079383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C9-42FD-878F-304441146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41887"/>
        <c:axId val="7795870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'0'!$H$33:$H$91</c15:sqref>
                        </c15:formulaRef>
                      </c:ext>
                    </c:extLst>
                    <c:numCache>
                      <c:formatCode>General</c:formatCode>
                      <c:ptCount val="59"/>
                      <c:pt idx="0">
                        <c:v>0.46</c:v>
                      </c:pt>
                      <c:pt idx="1">
                        <c:v>0.47</c:v>
                      </c:pt>
                      <c:pt idx="2">
                        <c:v>0.48</c:v>
                      </c:pt>
                      <c:pt idx="3">
                        <c:v>0.49</c:v>
                      </c:pt>
                      <c:pt idx="4">
                        <c:v>0.5</c:v>
                      </c:pt>
                      <c:pt idx="5">
                        <c:v>0.51</c:v>
                      </c:pt>
                      <c:pt idx="6">
                        <c:v>0.52</c:v>
                      </c:pt>
                      <c:pt idx="7">
                        <c:v>0.53</c:v>
                      </c:pt>
                      <c:pt idx="8">
                        <c:v>0.54</c:v>
                      </c:pt>
                      <c:pt idx="9">
                        <c:v>0.55000000000000004</c:v>
                      </c:pt>
                      <c:pt idx="10">
                        <c:v>0.56000000000000005</c:v>
                      </c:pt>
                      <c:pt idx="11">
                        <c:v>0.56999999999999995</c:v>
                      </c:pt>
                      <c:pt idx="12">
                        <c:v>0.57999999999999996</c:v>
                      </c:pt>
                      <c:pt idx="13">
                        <c:v>0.59</c:v>
                      </c:pt>
                      <c:pt idx="14">
                        <c:v>0.6</c:v>
                      </c:pt>
                      <c:pt idx="15">
                        <c:v>0.61</c:v>
                      </c:pt>
                      <c:pt idx="16">
                        <c:v>0.62</c:v>
                      </c:pt>
                      <c:pt idx="17">
                        <c:v>0.63</c:v>
                      </c:pt>
                      <c:pt idx="18">
                        <c:v>0.64</c:v>
                      </c:pt>
                      <c:pt idx="19">
                        <c:v>0.65</c:v>
                      </c:pt>
                      <c:pt idx="20">
                        <c:v>0.66</c:v>
                      </c:pt>
                      <c:pt idx="21">
                        <c:v>0.67</c:v>
                      </c:pt>
                      <c:pt idx="22">
                        <c:v>0.68</c:v>
                      </c:pt>
                      <c:pt idx="23">
                        <c:v>0.68500000000000005</c:v>
                      </c:pt>
                      <c:pt idx="24">
                        <c:v>0.69</c:v>
                      </c:pt>
                      <c:pt idx="25">
                        <c:v>0.69499999999999995</c:v>
                      </c:pt>
                      <c:pt idx="26">
                        <c:v>0.7</c:v>
                      </c:pt>
                      <c:pt idx="27">
                        <c:v>0.70499999999999996</c:v>
                      </c:pt>
                      <c:pt idx="28">
                        <c:v>0.71</c:v>
                      </c:pt>
                      <c:pt idx="29">
                        <c:v>0.71499999999999997</c:v>
                      </c:pt>
                      <c:pt idx="30">
                        <c:v>0.72</c:v>
                      </c:pt>
                      <c:pt idx="31">
                        <c:v>0.72499999999999998</c:v>
                      </c:pt>
                      <c:pt idx="32">
                        <c:v>0.73</c:v>
                      </c:pt>
                      <c:pt idx="33">
                        <c:v>0.73499999999999999</c:v>
                      </c:pt>
                      <c:pt idx="34">
                        <c:v>0.74</c:v>
                      </c:pt>
                      <c:pt idx="35">
                        <c:v>0.745</c:v>
                      </c:pt>
                      <c:pt idx="36">
                        <c:v>0.75</c:v>
                      </c:pt>
                      <c:pt idx="37">
                        <c:v>0.755</c:v>
                      </c:pt>
                      <c:pt idx="38">
                        <c:v>0.76</c:v>
                      </c:pt>
                      <c:pt idx="39">
                        <c:v>0.76500000000000001</c:v>
                      </c:pt>
                      <c:pt idx="40">
                        <c:v>0.77</c:v>
                      </c:pt>
                      <c:pt idx="41">
                        <c:v>0.77500000000000002</c:v>
                      </c:pt>
                      <c:pt idx="42">
                        <c:v>0.78</c:v>
                      </c:pt>
                      <c:pt idx="43">
                        <c:v>0.78500000000000003</c:v>
                      </c:pt>
                      <c:pt idx="44">
                        <c:v>0.79</c:v>
                      </c:pt>
                      <c:pt idx="45">
                        <c:v>0.79500000000000004</c:v>
                      </c:pt>
                      <c:pt idx="46">
                        <c:v>0.8</c:v>
                      </c:pt>
                      <c:pt idx="47">
                        <c:v>0.80500000000000005</c:v>
                      </c:pt>
                      <c:pt idx="48">
                        <c:v>0.81</c:v>
                      </c:pt>
                      <c:pt idx="49">
                        <c:v>0.81499999999999995</c:v>
                      </c:pt>
                      <c:pt idx="50">
                        <c:v>0.82</c:v>
                      </c:pt>
                      <c:pt idx="51">
                        <c:v>0.82499999999999996</c:v>
                      </c:pt>
                      <c:pt idx="52">
                        <c:v>0.83</c:v>
                      </c:pt>
                      <c:pt idx="53">
                        <c:v>0.83499999999999996</c:v>
                      </c:pt>
                      <c:pt idx="54">
                        <c:v>0.84</c:v>
                      </c:pt>
                      <c:pt idx="55">
                        <c:v>0.84499999999999997</c:v>
                      </c:pt>
                      <c:pt idx="56">
                        <c:v>0.85</c:v>
                      </c:pt>
                      <c:pt idx="57">
                        <c:v>0.875</c:v>
                      </c:pt>
                      <c:pt idx="58">
                        <c:v>0.9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C9-42FD-878F-304441146557}"/>
                  </c:ext>
                </c:extLst>
              </c15:ser>
            </c15:filteredLineSeries>
          </c:ext>
        </c:extLst>
      </c:lineChart>
      <c:catAx>
        <c:axId val="46044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87039"/>
        <c:crosses val="autoZero"/>
        <c:auto val="1"/>
        <c:lblAlgn val="ctr"/>
        <c:lblOffset val="100"/>
        <c:noMultiLvlLbl val="0"/>
      </c:catAx>
      <c:valAx>
        <c:axId val="77958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4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'0'!$I$1</c:f>
              <c:strCache>
                <c:ptCount val="1"/>
                <c:pt idx="0">
                  <c:v>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'0'!$H:$H</c:f>
              <c:strCache>
                <c:ptCount val="99"/>
                <c:pt idx="0">
                  <c:v>Yo</c:v>
                </c:pt>
                <c:pt idx="1">
                  <c:v>0</c:v>
                </c:pt>
                <c:pt idx="2">
                  <c:v>0.025</c:v>
                </c:pt>
                <c:pt idx="3">
                  <c:v>0.05</c:v>
                </c:pt>
                <c:pt idx="4">
                  <c:v>0.075</c:v>
                </c:pt>
                <c:pt idx="5">
                  <c:v>0.1</c:v>
                </c:pt>
                <c:pt idx="6">
                  <c:v>0.125</c:v>
                </c:pt>
                <c:pt idx="7">
                  <c:v>0.15</c:v>
                </c:pt>
                <c:pt idx="8">
                  <c:v>0.175</c:v>
                </c:pt>
                <c:pt idx="9">
                  <c:v>0.2</c:v>
                </c:pt>
                <c:pt idx="10">
                  <c:v>0.225</c:v>
                </c:pt>
                <c:pt idx="11">
                  <c:v>0.25</c:v>
                </c:pt>
                <c:pt idx="12">
                  <c:v>0.26</c:v>
                </c:pt>
                <c:pt idx="13">
                  <c:v>0.27</c:v>
                </c:pt>
                <c:pt idx="14">
                  <c:v>0.28</c:v>
                </c:pt>
                <c:pt idx="15">
                  <c:v>0.29</c:v>
                </c:pt>
                <c:pt idx="16">
                  <c:v>0.3</c:v>
                </c:pt>
                <c:pt idx="17">
                  <c:v>0.31</c:v>
                </c:pt>
                <c:pt idx="18">
                  <c:v>0.32</c:v>
                </c:pt>
                <c:pt idx="19">
                  <c:v>0.33</c:v>
                </c:pt>
                <c:pt idx="20">
                  <c:v>0.34</c:v>
                </c:pt>
                <c:pt idx="21">
                  <c:v>0.35</c:v>
                </c:pt>
                <c:pt idx="22">
                  <c:v>0.36</c:v>
                </c:pt>
                <c:pt idx="23">
                  <c:v>0.37</c:v>
                </c:pt>
                <c:pt idx="24">
                  <c:v>0.38</c:v>
                </c:pt>
                <c:pt idx="25">
                  <c:v>0.39</c:v>
                </c:pt>
                <c:pt idx="26">
                  <c:v>0.4</c:v>
                </c:pt>
                <c:pt idx="27">
                  <c:v>0.41</c:v>
                </c:pt>
                <c:pt idx="28">
                  <c:v>0.42</c:v>
                </c:pt>
                <c:pt idx="29">
                  <c:v>0.43</c:v>
                </c:pt>
                <c:pt idx="30">
                  <c:v>0.44</c:v>
                </c:pt>
                <c:pt idx="31">
                  <c:v>0.45</c:v>
                </c:pt>
                <c:pt idx="32">
                  <c:v>0.46</c:v>
                </c:pt>
                <c:pt idx="33">
                  <c:v>0.47</c:v>
                </c:pt>
                <c:pt idx="34">
                  <c:v>0.48</c:v>
                </c:pt>
                <c:pt idx="35">
                  <c:v>0.49</c:v>
                </c:pt>
                <c:pt idx="36">
                  <c:v>0.5</c:v>
                </c:pt>
                <c:pt idx="37">
                  <c:v>0.51</c:v>
                </c:pt>
                <c:pt idx="38">
                  <c:v>0.52</c:v>
                </c:pt>
                <c:pt idx="39">
                  <c:v>0.53</c:v>
                </c:pt>
                <c:pt idx="40">
                  <c:v>0.54</c:v>
                </c:pt>
                <c:pt idx="41">
                  <c:v>0.55</c:v>
                </c:pt>
                <c:pt idx="42">
                  <c:v>0.56</c:v>
                </c:pt>
                <c:pt idx="43">
                  <c:v>0.57</c:v>
                </c:pt>
                <c:pt idx="44">
                  <c:v>0.58</c:v>
                </c:pt>
                <c:pt idx="45">
                  <c:v>0.59</c:v>
                </c:pt>
                <c:pt idx="46">
                  <c:v>0.6</c:v>
                </c:pt>
                <c:pt idx="47">
                  <c:v>0.61</c:v>
                </c:pt>
                <c:pt idx="48">
                  <c:v>0.62</c:v>
                </c:pt>
                <c:pt idx="49">
                  <c:v>0.63</c:v>
                </c:pt>
                <c:pt idx="50">
                  <c:v>0.64</c:v>
                </c:pt>
                <c:pt idx="51">
                  <c:v>0.65</c:v>
                </c:pt>
                <c:pt idx="52">
                  <c:v>0.66</c:v>
                </c:pt>
                <c:pt idx="53">
                  <c:v>0.67</c:v>
                </c:pt>
                <c:pt idx="54">
                  <c:v>0.68</c:v>
                </c:pt>
                <c:pt idx="55">
                  <c:v>0.685</c:v>
                </c:pt>
                <c:pt idx="56">
                  <c:v>0.69</c:v>
                </c:pt>
                <c:pt idx="57">
                  <c:v>0.695</c:v>
                </c:pt>
                <c:pt idx="58">
                  <c:v>0.7</c:v>
                </c:pt>
                <c:pt idx="59">
                  <c:v>0.705</c:v>
                </c:pt>
                <c:pt idx="60">
                  <c:v>0.71</c:v>
                </c:pt>
                <c:pt idx="61">
                  <c:v>0.715</c:v>
                </c:pt>
                <c:pt idx="62">
                  <c:v>0.72</c:v>
                </c:pt>
                <c:pt idx="63">
                  <c:v>0.725</c:v>
                </c:pt>
                <c:pt idx="64">
                  <c:v>0.73</c:v>
                </c:pt>
                <c:pt idx="65">
                  <c:v>0.735</c:v>
                </c:pt>
                <c:pt idx="66">
                  <c:v>0.74</c:v>
                </c:pt>
                <c:pt idx="67">
                  <c:v>0.745</c:v>
                </c:pt>
                <c:pt idx="68">
                  <c:v>0.75</c:v>
                </c:pt>
                <c:pt idx="69">
                  <c:v>0.755</c:v>
                </c:pt>
                <c:pt idx="70">
                  <c:v>0.76</c:v>
                </c:pt>
                <c:pt idx="71">
                  <c:v>0.765</c:v>
                </c:pt>
                <c:pt idx="72">
                  <c:v>0.77</c:v>
                </c:pt>
                <c:pt idx="73">
                  <c:v>0.775</c:v>
                </c:pt>
                <c:pt idx="74">
                  <c:v>0.78</c:v>
                </c:pt>
                <c:pt idx="75">
                  <c:v>0.785</c:v>
                </c:pt>
                <c:pt idx="76">
                  <c:v>0.79</c:v>
                </c:pt>
                <c:pt idx="77">
                  <c:v>0.795</c:v>
                </c:pt>
                <c:pt idx="78">
                  <c:v>0.8</c:v>
                </c:pt>
                <c:pt idx="79">
                  <c:v>0.805</c:v>
                </c:pt>
                <c:pt idx="80">
                  <c:v>0.81</c:v>
                </c:pt>
                <c:pt idx="81">
                  <c:v>0.815</c:v>
                </c:pt>
                <c:pt idx="82">
                  <c:v>0.82</c:v>
                </c:pt>
                <c:pt idx="83">
                  <c:v>0.825</c:v>
                </c:pt>
                <c:pt idx="84">
                  <c:v>0.83</c:v>
                </c:pt>
                <c:pt idx="85">
                  <c:v>0.835</c:v>
                </c:pt>
                <c:pt idx="86">
                  <c:v>0.84</c:v>
                </c:pt>
                <c:pt idx="87">
                  <c:v>0.845</c:v>
                </c:pt>
                <c:pt idx="88">
                  <c:v>0.85</c:v>
                </c:pt>
                <c:pt idx="89">
                  <c:v>0.875</c:v>
                </c:pt>
                <c:pt idx="90">
                  <c:v>0.9</c:v>
                </c:pt>
                <c:pt idx="91">
                  <c:v>0.925</c:v>
                </c:pt>
                <c:pt idx="92">
                  <c:v>0.95</c:v>
                </c:pt>
                <c:pt idx="93">
                  <c:v>0.975</c:v>
                </c:pt>
                <c:pt idx="94">
                  <c:v>1</c:v>
                </c:pt>
                <c:pt idx="95">
                  <c:v>1.025</c:v>
                </c:pt>
                <c:pt idx="96">
                  <c:v>1.05</c:v>
                </c:pt>
                <c:pt idx="97">
                  <c:v>1.075</c:v>
                </c:pt>
                <c:pt idx="98">
                  <c:v>1.1</c:v>
                </c:pt>
              </c:strCache>
            </c:strRef>
          </c:cat>
          <c:val>
            <c:numRef>
              <c:f>'0'!$I$2:$I$99</c:f>
              <c:numCache>
                <c:formatCode>General</c:formatCode>
                <c:ptCount val="98"/>
                <c:pt idx="0">
                  <c:v>1.0002301884631646</c:v>
                </c:pt>
                <c:pt idx="1">
                  <c:v>1.0008038794701624</c:v>
                </c:pt>
                <c:pt idx="2">
                  <c:v>0.99965616822164793</c:v>
                </c:pt>
                <c:pt idx="3">
                  <c:v>1.0010906016876107</c:v>
                </c:pt>
                <c:pt idx="4">
                  <c:v>1.0008038794701624</c:v>
                </c:pt>
                <c:pt idx="5">
                  <c:v>1.0010906016876107</c:v>
                </c:pt>
                <c:pt idx="6">
                  <c:v>1.0002301884631646</c:v>
                </c:pt>
                <c:pt idx="7">
                  <c:v>0.9999432195321506</c:v>
                </c:pt>
                <c:pt idx="8">
                  <c:v>0.99965616822164793</c:v>
                </c:pt>
                <c:pt idx="9">
                  <c:v>1.0002301884631646</c:v>
                </c:pt>
                <c:pt idx="10">
                  <c:v>1.0016637999033071</c:v>
                </c:pt>
                <c:pt idx="11">
                  <c:v>1.0010906016876107</c:v>
                </c:pt>
                <c:pt idx="12">
                  <c:v>1.0016637999033071</c:v>
                </c:pt>
                <c:pt idx="13">
                  <c:v>0.99965616822164793</c:v>
                </c:pt>
                <c:pt idx="14">
                  <c:v>0.99965616822164793</c:v>
                </c:pt>
                <c:pt idx="15">
                  <c:v>1.001950276042413</c:v>
                </c:pt>
                <c:pt idx="16">
                  <c:v>1.0005170750855743</c:v>
                </c:pt>
                <c:pt idx="17">
                  <c:v>1.0005170750855743</c:v>
                </c:pt>
                <c:pt idx="18">
                  <c:v>0.9999432195321506</c:v>
                </c:pt>
                <c:pt idx="19">
                  <c:v>1.0008038794701624</c:v>
                </c:pt>
                <c:pt idx="20">
                  <c:v>1.0010906016876107</c:v>
                </c:pt>
                <c:pt idx="21">
                  <c:v>1.0008038794701624</c:v>
                </c:pt>
                <c:pt idx="22">
                  <c:v>1.0005170750855743</c:v>
                </c:pt>
                <c:pt idx="23">
                  <c:v>1.0005170750855743</c:v>
                </c:pt>
                <c:pt idx="24">
                  <c:v>1.0010906016876107</c:v>
                </c:pt>
                <c:pt idx="25">
                  <c:v>1.0008038794701624</c:v>
                </c:pt>
                <c:pt idx="26">
                  <c:v>1.0010906016876107</c:v>
                </c:pt>
                <c:pt idx="27">
                  <c:v>1.0013772418084992</c:v>
                </c:pt>
                <c:pt idx="28">
                  <c:v>1.0005170750855743</c:v>
                </c:pt>
                <c:pt idx="29">
                  <c:v>0.9999432195321506</c:v>
                </c:pt>
                <c:pt idx="30">
                  <c:v>1.0002301884631646</c:v>
                </c:pt>
                <c:pt idx="31">
                  <c:v>0.99965616822164793</c:v>
                </c:pt>
                <c:pt idx="32">
                  <c:v>1.0005170750855743</c:v>
                </c:pt>
                <c:pt idx="33">
                  <c:v>0.99965616822164793</c:v>
                </c:pt>
                <c:pt idx="34">
                  <c:v>0.9999432195321506</c:v>
                </c:pt>
                <c:pt idx="35">
                  <c:v>1.0002301884631646</c:v>
                </c:pt>
                <c:pt idx="36">
                  <c:v>1.0010906016876107</c:v>
                </c:pt>
                <c:pt idx="37">
                  <c:v>0.9993690344606706</c:v>
                </c:pt>
                <c:pt idx="38">
                  <c:v>1.0005170750855743</c:v>
                </c:pt>
                <c:pt idx="39">
                  <c:v>0.99879451930283569</c:v>
                </c:pt>
                <c:pt idx="40">
                  <c:v>0.99879451930283569</c:v>
                </c:pt>
                <c:pt idx="41">
                  <c:v>0.9985071377634952</c:v>
                </c:pt>
                <c:pt idx="42">
                  <c:v>0.9990818181781298</c:v>
                </c:pt>
                <c:pt idx="43">
                  <c:v>0.99821967348871299</c:v>
                </c:pt>
                <c:pt idx="44">
                  <c:v>0.99879451930283569</c:v>
                </c:pt>
                <c:pt idx="45">
                  <c:v>0.99965616822164793</c:v>
                </c:pt>
                <c:pt idx="46">
                  <c:v>1.0002301884631646</c:v>
                </c:pt>
                <c:pt idx="47">
                  <c:v>0.99965616822164793</c:v>
                </c:pt>
                <c:pt idx="48">
                  <c:v>0.9990818181781298</c:v>
                </c:pt>
                <c:pt idx="49">
                  <c:v>0.9993690344606706</c:v>
                </c:pt>
                <c:pt idx="50">
                  <c:v>0.9993690344606706</c:v>
                </c:pt>
                <c:pt idx="51">
                  <c:v>0.99821967348871299</c:v>
                </c:pt>
                <c:pt idx="52">
                  <c:v>0.99793212640699058</c:v>
                </c:pt>
                <c:pt idx="53">
                  <c:v>0.99649314638461162</c:v>
                </c:pt>
                <c:pt idx="54">
                  <c:v>0.99534046451079383</c:v>
                </c:pt>
                <c:pt idx="55">
                  <c:v>0.99158499442609982</c:v>
                </c:pt>
                <c:pt idx="56">
                  <c:v>0.98926684983028135</c:v>
                </c:pt>
                <c:pt idx="57">
                  <c:v>0.98694326036264568</c:v>
                </c:pt>
                <c:pt idx="58">
                  <c:v>0.98052499786139036</c:v>
                </c:pt>
                <c:pt idx="59">
                  <c:v>0.97612471388652744</c:v>
                </c:pt>
                <c:pt idx="60">
                  <c:v>0.97022662536407211</c:v>
                </c:pt>
                <c:pt idx="61">
                  <c:v>0.9642924618966261</c:v>
                </c:pt>
                <c:pt idx="62">
                  <c:v>0.95832155332954749</c:v>
                </c:pt>
                <c:pt idx="63">
                  <c:v>0.95261452576894512</c:v>
                </c:pt>
                <c:pt idx="64">
                  <c:v>0.94717614911945625</c:v>
                </c:pt>
                <c:pt idx="65">
                  <c:v>0.94170636623925041</c:v>
                </c:pt>
                <c:pt idx="66">
                  <c:v>0.93865382541604936</c:v>
                </c:pt>
                <c:pt idx="67">
                  <c:v>0.93712382631352853</c:v>
                </c:pt>
                <c:pt idx="68">
                  <c:v>0.93651112678656334</c:v>
                </c:pt>
                <c:pt idx="69">
                  <c:v>0.93926512722322086</c:v>
                </c:pt>
                <c:pt idx="70">
                  <c:v>0.94474904417145755</c:v>
                </c:pt>
                <c:pt idx="71">
                  <c:v>0.95140868411374724</c:v>
                </c:pt>
                <c:pt idx="72">
                  <c:v>0.9574227053406198</c:v>
                </c:pt>
                <c:pt idx="73">
                  <c:v>0.96548221245634347</c:v>
                </c:pt>
                <c:pt idx="74">
                  <c:v>0.97199980983216516</c:v>
                </c:pt>
                <c:pt idx="75">
                  <c:v>0.97759367591230339</c:v>
                </c:pt>
                <c:pt idx="76">
                  <c:v>0.98636150772715125</c:v>
                </c:pt>
                <c:pt idx="77">
                  <c:v>0.98694326036264568</c:v>
                </c:pt>
                <c:pt idx="78">
                  <c:v>0.99187438156035834</c:v>
                </c:pt>
                <c:pt idx="79">
                  <c:v>0.99360893441240405</c:v>
                </c:pt>
                <c:pt idx="80">
                  <c:v>0.99476362269792173</c:v>
                </c:pt>
                <c:pt idx="81">
                  <c:v>0.99534046451079383</c:v>
                </c:pt>
                <c:pt idx="82">
                  <c:v>0.99678110857712277</c:v>
                </c:pt>
                <c:pt idx="83">
                  <c:v>0.99821967348871299</c:v>
                </c:pt>
                <c:pt idx="84">
                  <c:v>0.99649314638461162</c:v>
                </c:pt>
                <c:pt idx="85">
                  <c:v>0.99735678353621671</c:v>
                </c:pt>
                <c:pt idx="86">
                  <c:v>0.99649314638461162</c:v>
                </c:pt>
                <c:pt idx="87">
                  <c:v>0.99591697221306208</c:v>
                </c:pt>
                <c:pt idx="88">
                  <c:v>0.99476362269792173</c:v>
                </c:pt>
                <c:pt idx="89">
                  <c:v>0.99534046451079383</c:v>
                </c:pt>
                <c:pt idx="90">
                  <c:v>0.99534046451079383</c:v>
                </c:pt>
                <c:pt idx="91">
                  <c:v>0.99534046451079383</c:v>
                </c:pt>
                <c:pt idx="92">
                  <c:v>0.99360893441240405</c:v>
                </c:pt>
                <c:pt idx="93">
                  <c:v>0.99562876008947132</c:v>
                </c:pt>
                <c:pt idx="94">
                  <c:v>0.99505208540449186</c:v>
                </c:pt>
                <c:pt idx="95">
                  <c:v>0.99476362269792173</c:v>
                </c:pt>
                <c:pt idx="96">
                  <c:v>0.99534046451079383</c:v>
                </c:pt>
                <c:pt idx="97">
                  <c:v>0.99620510095399939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0-4386-A475-450D5EF61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436447"/>
        <c:axId val="459436927"/>
      </c:lineChart>
      <c:catAx>
        <c:axId val="45943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36927"/>
        <c:crosses val="autoZero"/>
        <c:auto val="1"/>
        <c:lblAlgn val="ctr"/>
        <c:lblOffset val="100"/>
        <c:noMultiLvlLbl val="0"/>
      </c:catAx>
      <c:valAx>
        <c:axId val="4594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3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'3'!$C$2:$C$78</c:f>
              <c:numCache>
                <c:formatCode>General</c:formatCode>
                <c:ptCount val="77"/>
                <c:pt idx="0">
                  <c:v>0</c:v>
                </c:pt>
                <c:pt idx="1">
                  <c:v>-1.1111111111111112E-2</c:v>
                </c:pt>
                <c:pt idx="2">
                  <c:v>-2.2222222222222223E-2</c:v>
                </c:pt>
                <c:pt idx="3">
                  <c:v>-3.3333333333333333E-2</c:v>
                </c:pt>
                <c:pt idx="4">
                  <c:v>-4.4444444444444446E-2</c:v>
                </c:pt>
                <c:pt idx="5">
                  <c:v>-5.5555555555555552E-2</c:v>
                </c:pt>
                <c:pt idx="6">
                  <c:v>-6.6666666666666666E-2</c:v>
                </c:pt>
                <c:pt idx="7">
                  <c:v>-7.7777777777777779E-2</c:v>
                </c:pt>
                <c:pt idx="8">
                  <c:v>-8.8888888888888892E-2</c:v>
                </c:pt>
                <c:pt idx="9">
                  <c:v>-0.1</c:v>
                </c:pt>
                <c:pt idx="10">
                  <c:v>-0.10444444444444445</c:v>
                </c:pt>
                <c:pt idx="11">
                  <c:v>-0.10888888888888888</c:v>
                </c:pt>
                <c:pt idx="12">
                  <c:v>-0.11333333333333333</c:v>
                </c:pt>
                <c:pt idx="13">
                  <c:v>-0.11777777777777777</c:v>
                </c:pt>
                <c:pt idx="14">
                  <c:v>-0.12222222222222222</c:v>
                </c:pt>
                <c:pt idx="15">
                  <c:v>-0.12666666666666668</c:v>
                </c:pt>
                <c:pt idx="16">
                  <c:v>-0.13111111111111112</c:v>
                </c:pt>
                <c:pt idx="17">
                  <c:v>-0.13555555555555557</c:v>
                </c:pt>
                <c:pt idx="18">
                  <c:v>-0.14000000000000001</c:v>
                </c:pt>
                <c:pt idx="19">
                  <c:v>-0.14444444444444443</c:v>
                </c:pt>
                <c:pt idx="20">
                  <c:v>-0.14888888888888888</c:v>
                </c:pt>
                <c:pt idx="21">
                  <c:v>-0.15333333333333332</c:v>
                </c:pt>
                <c:pt idx="22">
                  <c:v>-0.15777777777777777</c:v>
                </c:pt>
                <c:pt idx="23">
                  <c:v>-0.16222222222222221</c:v>
                </c:pt>
                <c:pt idx="24">
                  <c:v>-0.16666666666666666</c:v>
                </c:pt>
                <c:pt idx="25">
                  <c:v>-0.1711111111111111</c:v>
                </c:pt>
                <c:pt idx="26">
                  <c:v>-0.17555555555555555</c:v>
                </c:pt>
                <c:pt idx="27">
                  <c:v>-0.18</c:v>
                </c:pt>
                <c:pt idx="28">
                  <c:v>-0.18444444444444444</c:v>
                </c:pt>
                <c:pt idx="29">
                  <c:v>-0.18666666666666668</c:v>
                </c:pt>
                <c:pt idx="30">
                  <c:v>-0.18888888888888888</c:v>
                </c:pt>
                <c:pt idx="31">
                  <c:v>-0.19111111111111112</c:v>
                </c:pt>
                <c:pt idx="32">
                  <c:v>-0.19333333333333333</c:v>
                </c:pt>
                <c:pt idx="33">
                  <c:v>-0.19555555555555557</c:v>
                </c:pt>
                <c:pt idx="34">
                  <c:v>-0.19777777777777777</c:v>
                </c:pt>
                <c:pt idx="35">
                  <c:v>-0.2</c:v>
                </c:pt>
                <c:pt idx="36">
                  <c:v>-0.20222222222222222</c:v>
                </c:pt>
                <c:pt idx="37">
                  <c:v>-0.20444444444444446</c:v>
                </c:pt>
                <c:pt idx="38">
                  <c:v>-0.20666666666666667</c:v>
                </c:pt>
                <c:pt idx="39">
                  <c:v>-0.2088888888888889</c:v>
                </c:pt>
                <c:pt idx="40">
                  <c:v>-0.21111111111111111</c:v>
                </c:pt>
                <c:pt idx="41">
                  <c:v>-0.21333333333333335</c:v>
                </c:pt>
                <c:pt idx="42">
                  <c:v>-0.21555555555555556</c:v>
                </c:pt>
                <c:pt idx="43">
                  <c:v>-0.21777777777777776</c:v>
                </c:pt>
                <c:pt idx="44">
                  <c:v>-0.22</c:v>
                </c:pt>
                <c:pt idx="45">
                  <c:v>-0.22222222222222221</c:v>
                </c:pt>
                <c:pt idx="46">
                  <c:v>-0.22444444444444445</c:v>
                </c:pt>
                <c:pt idx="47">
                  <c:v>-0.22666666666666666</c:v>
                </c:pt>
                <c:pt idx="48">
                  <c:v>-0.22888888888888889</c:v>
                </c:pt>
                <c:pt idx="49">
                  <c:v>-0.2311111111111111</c:v>
                </c:pt>
                <c:pt idx="50">
                  <c:v>-0.23333333333333334</c:v>
                </c:pt>
                <c:pt idx="51">
                  <c:v>-0.23555555555555555</c:v>
                </c:pt>
                <c:pt idx="52">
                  <c:v>-0.23777777777777778</c:v>
                </c:pt>
                <c:pt idx="53">
                  <c:v>-0.24</c:v>
                </c:pt>
                <c:pt idx="54">
                  <c:v>-0.24222222222222223</c:v>
                </c:pt>
                <c:pt idx="55">
                  <c:v>-0.24444444444444444</c:v>
                </c:pt>
                <c:pt idx="56">
                  <c:v>-0.24666666666666667</c:v>
                </c:pt>
                <c:pt idx="57">
                  <c:v>-0.24888888888888888</c:v>
                </c:pt>
                <c:pt idx="58">
                  <c:v>-0.25111111111111112</c:v>
                </c:pt>
                <c:pt idx="59">
                  <c:v>-0.25333333333333335</c:v>
                </c:pt>
                <c:pt idx="60">
                  <c:v>-0.25777777777777777</c:v>
                </c:pt>
                <c:pt idx="61">
                  <c:v>-0.26222222222222225</c:v>
                </c:pt>
                <c:pt idx="62">
                  <c:v>-0.26666666666666666</c:v>
                </c:pt>
                <c:pt idx="63">
                  <c:v>-0.27111111111111114</c:v>
                </c:pt>
                <c:pt idx="64">
                  <c:v>-0.27555555555555555</c:v>
                </c:pt>
                <c:pt idx="65">
                  <c:v>-0.28000000000000003</c:v>
                </c:pt>
                <c:pt idx="66">
                  <c:v>-0.28444444444444444</c:v>
                </c:pt>
                <c:pt idx="67">
                  <c:v>-0.28888888888888886</c:v>
                </c:pt>
                <c:pt idx="68">
                  <c:v>-0.29333333333333333</c:v>
                </c:pt>
                <c:pt idx="69">
                  <c:v>-0.29777777777777775</c:v>
                </c:pt>
                <c:pt idx="70">
                  <c:v>-0.30222222222222223</c:v>
                </c:pt>
                <c:pt idx="71">
                  <c:v>-0.30666666666666664</c:v>
                </c:pt>
                <c:pt idx="72">
                  <c:v>-0.31111111111111112</c:v>
                </c:pt>
                <c:pt idx="73">
                  <c:v>-0.32222222222222224</c:v>
                </c:pt>
                <c:pt idx="74">
                  <c:v>-0.33333333333333331</c:v>
                </c:pt>
                <c:pt idx="75">
                  <c:v>-0.34444444444444444</c:v>
                </c:pt>
                <c:pt idx="76">
                  <c:v>-0.35555555555555557</c:v>
                </c:pt>
              </c:numCache>
            </c:numRef>
          </c:cat>
          <c:val>
            <c:numRef>
              <c:f>'3'!$E$2:$E$78</c:f>
              <c:numCache>
                <c:formatCode>General</c:formatCode>
                <c:ptCount val="77"/>
                <c:pt idx="0">
                  <c:v>0.99195683698086301</c:v>
                </c:pt>
                <c:pt idx="1">
                  <c:v>0.99312867062865828</c:v>
                </c:pt>
                <c:pt idx="2">
                  <c:v>0.99459152113523741</c:v>
                </c:pt>
                <c:pt idx="3">
                  <c:v>0.99459152113523741</c:v>
                </c:pt>
                <c:pt idx="4">
                  <c:v>0.99371406924750239</c:v>
                </c:pt>
                <c:pt idx="5">
                  <c:v>0.99459152113523741</c:v>
                </c:pt>
                <c:pt idx="6">
                  <c:v>0.99429912321001956</c:v>
                </c:pt>
                <c:pt idx="7">
                  <c:v>0.99488383312424844</c:v>
                </c:pt>
                <c:pt idx="8">
                  <c:v>0.9951760592527783</c:v>
                </c:pt>
                <c:pt idx="9">
                  <c:v>0.99312867062865828</c:v>
                </c:pt>
                <c:pt idx="10">
                  <c:v>0.99371406924750239</c:v>
                </c:pt>
                <c:pt idx="11">
                  <c:v>0.99312867062865828</c:v>
                </c:pt>
                <c:pt idx="12">
                  <c:v>0.99429912321001956</c:v>
                </c:pt>
                <c:pt idx="13">
                  <c:v>0.99371406924750239</c:v>
                </c:pt>
                <c:pt idx="14">
                  <c:v>0.99371406924750239</c:v>
                </c:pt>
                <c:pt idx="15">
                  <c:v>0.99429912321001956</c:v>
                </c:pt>
                <c:pt idx="16">
                  <c:v>0.99312867062865828</c:v>
                </c:pt>
                <c:pt idx="17">
                  <c:v>0.99371406924750239</c:v>
                </c:pt>
                <c:pt idx="18">
                  <c:v>0.99254292674365585</c:v>
                </c:pt>
                <c:pt idx="19">
                  <c:v>0.99342141305819354</c:v>
                </c:pt>
                <c:pt idx="20">
                  <c:v>0.99224992513528087</c:v>
                </c:pt>
                <c:pt idx="21">
                  <c:v>0.99312867062865828</c:v>
                </c:pt>
                <c:pt idx="22">
                  <c:v>0.99429912321001956</c:v>
                </c:pt>
                <c:pt idx="23">
                  <c:v>0.99371406924750239</c:v>
                </c:pt>
                <c:pt idx="24">
                  <c:v>0.99283584188261165</c:v>
                </c:pt>
                <c:pt idx="25">
                  <c:v>0.99283584188261165</c:v>
                </c:pt>
                <c:pt idx="26">
                  <c:v>0.99312867062865828</c:v>
                </c:pt>
                <c:pt idx="27">
                  <c:v>0.99254292674365585</c:v>
                </c:pt>
                <c:pt idx="28">
                  <c:v>0.98931513632009682</c:v>
                </c:pt>
                <c:pt idx="29">
                  <c:v>0.98578185668906926</c:v>
                </c:pt>
                <c:pt idx="30">
                  <c:v>0.98164362372852099</c:v>
                </c:pt>
                <c:pt idx="31">
                  <c:v>0.97510520409504575</c:v>
                </c:pt>
                <c:pt idx="32">
                  <c:v>0.96431034896921686</c:v>
                </c:pt>
                <c:pt idx="33">
                  <c:v>0.95765359299462294</c:v>
                </c:pt>
                <c:pt idx="34">
                  <c:v>0.94819430062665044</c:v>
                </c:pt>
                <c:pt idx="35">
                  <c:v>0.94142359583093127</c:v>
                </c:pt>
                <c:pt idx="36">
                  <c:v>0.93398139533817026</c:v>
                </c:pt>
                <c:pt idx="37">
                  <c:v>0.92679321015333394</c:v>
                </c:pt>
                <c:pt idx="38">
                  <c:v>0.92490884383217498</c:v>
                </c:pt>
                <c:pt idx="39">
                  <c:v>0.92302063054496208</c:v>
                </c:pt>
                <c:pt idx="40">
                  <c:v>0.92459440940397153</c:v>
                </c:pt>
                <c:pt idx="41">
                  <c:v>0.92804732873808204</c:v>
                </c:pt>
                <c:pt idx="42">
                  <c:v>0.93863968555895494</c:v>
                </c:pt>
                <c:pt idx="43">
                  <c:v>0.94389128969938907</c:v>
                </c:pt>
                <c:pt idx="44">
                  <c:v>0.95095024013977159</c:v>
                </c:pt>
                <c:pt idx="45">
                  <c:v>0.94972636544971301</c:v>
                </c:pt>
                <c:pt idx="46">
                  <c:v>0.95856405454679272</c:v>
                </c:pt>
                <c:pt idx="47">
                  <c:v>0.969122907115193</c:v>
                </c:pt>
                <c:pt idx="48">
                  <c:v>0.97062193802987073</c:v>
                </c:pt>
                <c:pt idx="49">
                  <c:v>0.9792710676946027</c:v>
                </c:pt>
                <c:pt idx="50">
                  <c:v>0.98548684490431271</c:v>
                </c:pt>
                <c:pt idx="51">
                  <c:v>0.9875500766871016</c:v>
                </c:pt>
                <c:pt idx="52">
                  <c:v>0.98872713321536165</c:v>
                </c:pt>
                <c:pt idx="53">
                  <c:v>0.99195683698086301</c:v>
                </c:pt>
                <c:pt idx="54">
                  <c:v>0.99429912321001956</c:v>
                </c:pt>
                <c:pt idx="55">
                  <c:v>0.99137040072683957</c:v>
                </c:pt>
                <c:pt idx="56">
                  <c:v>0.99283584188261165</c:v>
                </c:pt>
                <c:pt idx="57">
                  <c:v>0.99429912321001956</c:v>
                </c:pt>
                <c:pt idx="58">
                  <c:v>0.99224992513528087</c:v>
                </c:pt>
                <c:pt idx="59">
                  <c:v>0.99429912321001956</c:v>
                </c:pt>
                <c:pt idx="60">
                  <c:v>0.99429912321001956</c:v>
                </c:pt>
                <c:pt idx="61">
                  <c:v>0.99371406924750239</c:v>
                </c:pt>
                <c:pt idx="62">
                  <c:v>0.99429912321001956</c:v>
                </c:pt>
                <c:pt idx="63">
                  <c:v>0.99342141305819354</c:v>
                </c:pt>
                <c:pt idx="64">
                  <c:v>0.99400663927275734</c:v>
                </c:pt>
                <c:pt idx="65">
                  <c:v>0.99283584188261165</c:v>
                </c:pt>
                <c:pt idx="66">
                  <c:v>0.99429912321001956</c:v>
                </c:pt>
                <c:pt idx="67">
                  <c:v>0.99371406924750239</c:v>
                </c:pt>
                <c:pt idx="68">
                  <c:v>0.99342141305819354</c:v>
                </c:pt>
                <c:pt idx="69">
                  <c:v>0.99429912321001956</c:v>
                </c:pt>
                <c:pt idx="70">
                  <c:v>0.99400663927275734</c:v>
                </c:pt>
                <c:pt idx="71">
                  <c:v>0.99400663927275734</c:v>
                </c:pt>
                <c:pt idx="72">
                  <c:v>0.99371406924750239</c:v>
                </c:pt>
                <c:pt idx="73">
                  <c:v>0.99429912321001956</c:v>
                </c:pt>
                <c:pt idx="74">
                  <c:v>0.99371406924750239</c:v>
                </c:pt>
                <c:pt idx="75">
                  <c:v>0.99429912321001956</c:v>
                </c:pt>
                <c:pt idx="76">
                  <c:v>0.99459152113523741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B-4BBB-998E-0ED267B47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885631"/>
        <c:axId val="460444287"/>
      </c:lineChart>
      <c:catAx>
        <c:axId val="46888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44287"/>
        <c:crosses val="autoZero"/>
        <c:auto val="1"/>
        <c:lblAlgn val="ctr"/>
        <c:lblOffset val="100"/>
        <c:noMultiLvlLbl val="0"/>
      </c:catAx>
      <c:valAx>
        <c:axId val="46044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88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'-3'!$E$1</c:f>
              <c:strCache>
                <c:ptCount val="1"/>
                <c:pt idx="0">
                  <c:v>V0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'-3'!$C:$C</c:f>
              <c:strCache>
                <c:ptCount val="82"/>
                <c:pt idx="0">
                  <c:v>y0</c:v>
                </c:pt>
                <c:pt idx="1">
                  <c:v>0</c:v>
                </c:pt>
                <c:pt idx="2">
                  <c:v>0.020833333</c:v>
                </c:pt>
                <c:pt idx="3">
                  <c:v>0.041666667</c:v>
                </c:pt>
                <c:pt idx="4">
                  <c:v>0.0625</c:v>
                </c:pt>
                <c:pt idx="5">
                  <c:v>0.083333333</c:v>
                </c:pt>
                <c:pt idx="6">
                  <c:v>0.104166667</c:v>
                </c:pt>
                <c:pt idx="7">
                  <c:v>0.125</c:v>
                </c:pt>
                <c:pt idx="8">
                  <c:v>0.133333333</c:v>
                </c:pt>
                <c:pt idx="9">
                  <c:v>0.141666667</c:v>
                </c:pt>
                <c:pt idx="10">
                  <c:v>0.15</c:v>
                </c:pt>
                <c:pt idx="11">
                  <c:v>0.158333333</c:v>
                </c:pt>
                <c:pt idx="12">
                  <c:v>0.166666667</c:v>
                </c:pt>
                <c:pt idx="13">
                  <c:v>0.175</c:v>
                </c:pt>
                <c:pt idx="14">
                  <c:v>0.183333333</c:v>
                </c:pt>
                <c:pt idx="15">
                  <c:v>0.191666667</c:v>
                </c:pt>
                <c:pt idx="16">
                  <c:v>0.2</c:v>
                </c:pt>
                <c:pt idx="17">
                  <c:v>0.208333333</c:v>
                </c:pt>
                <c:pt idx="18">
                  <c:v>0.216666667</c:v>
                </c:pt>
                <c:pt idx="19">
                  <c:v>0.225</c:v>
                </c:pt>
                <c:pt idx="20">
                  <c:v>0.233333333</c:v>
                </c:pt>
                <c:pt idx="21">
                  <c:v>0.241666667</c:v>
                </c:pt>
                <c:pt idx="22">
                  <c:v>0.25</c:v>
                </c:pt>
                <c:pt idx="23">
                  <c:v>0.258333333</c:v>
                </c:pt>
                <c:pt idx="24">
                  <c:v>0.266666667</c:v>
                </c:pt>
                <c:pt idx="25">
                  <c:v>0.275</c:v>
                </c:pt>
                <c:pt idx="26">
                  <c:v>0.283333333</c:v>
                </c:pt>
                <c:pt idx="27">
                  <c:v>0.291666667</c:v>
                </c:pt>
                <c:pt idx="28">
                  <c:v>0.3</c:v>
                </c:pt>
                <c:pt idx="29">
                  <c:v>0.308333333</c:v>
                </c:pt>
                <c:pt idx="30">
                  <c:v>0.316666667</c:v>
                </c:pt>
                <c:pt idx="31">
                  <c:v>0.325</c:v>
                </c:pt>
                <c:pt idx="32">
                  <c:v>0.333333333</c:v>
                </c:pt>
                <c:pt idx="33">
                  <c:v>0.341666667</c:v>
                </c:pt>
                <c:pt idx="34">
                  <c:v>0.35</c:v>
                </c:pt>
                <c:pt idx="35">
                  <c:v>0.358333333</c:v>
                </c:pt>
                <c:pt idx="36">
                  <c:v>0.366666667</c:v>
                </c:pt>
                <c:pt idx="37">
                  <c:v>0.375</c:v>
                </c:pt>
                <c:pt idx="38">
                  <c:v>0.379166667</c:v>
                </c:pt>
                <c:pt idx="39">
                  <c:v>0.383333333</c:v>
                </c:pt>
                <c:pt idx="40">
                  <c:v>0.3875</c:v>
                </c:pt>
                <c:pt idx="41">
                  <c:v>0.391666667</c:v>
                </c:pt>
                <c:pt idx="42">
                  <c:v>0.395833333</c:v>
                </c:pt>
                <c:pt idx="43">
                  <c:v>0.4</c:v>
                </c:pt>
                <c:pt idx="44">
                  <c:v>0.404166667</c:v>
                </c:pt>
                <c:pt idx="45">
                  <c:v>0.408333333</c:v>
                </c:pt>
                <c:pt idx="46">
                  <c:v>0.4125</c:v>
                </c:pt>
                <c:pt idx="47">
                  <c:v>0.416666667</c:v>
                </c:pt>
                <c:pt idx="48">
                  <c:v>0.420833333</c:v>
                </c:pt>
                <c:pt idx="49">
                  <c:v>0.425</c:v>
                </c:pt>
                <c:pt idx="50">
                  <c:v>0.429166667</c:v>
                </c:pt>
                <c:pt idx="51">
                  <c:v>0.433333333</c:v>
                </c:pt>
                <c:pt idx="52">
                  <c:v>0.4375</c:v>
                </c:pt>
                <c:pt idx="53">
                  <c:v>0.441666667</c:v>
                </c:pt>
                <c:pt idx="54">
                  <c:v>0.445833333</c:v>
                </c:pt>
                <c:pt idx="55">
                  <c:v>0.45</c:v>
                </c:pt>
                <c:pt idx="56">
                  <c:v>0.454166667</c:v>
                </c:pt>
                <c:pt idx="57">
                  <c:v>0.458333333</c:v>
                </c:pt>
                <c:pt idx="58">
                  <c:v>0.4625</c:v>
                </c:pt>
                <c:pt idx="59">
                  <c:v>0.466666667</c:v>
                </c:pt>
                <c:pt idx="60">
                  <c:v>0.470833333</c:v>
                </c:pt>
                <c:pt idx="61">
                  <c:v>0.475</c:v>
                </c:pt>
                <c:pt idx="62">
                  <c:v>0.479166667</c:v>
                </c:pt>
                <c:pt idx="63">
                  <c:v>0.483333333</c:v>
                </c:pt>
                <c:pt idx="64">
                  <c:v>0.4875</c:v>
                </c:pt>
                <c:pt idx="65">
                  <c:v>0.491666667</c:v>
                </c:pt>
                <c:pt idx="66">
                  <c:v>0.495833333</c:v>
                </c:pt>
                <c:pt idx="67">
                  <c:v>0.5</c:v>
                </c:pt>
                <c:pt idx="68">
                  <c:v>0.504166667</c:v>
                </c:pt>
                <c:pt idx="69">
                  <c:v>0.508333333</c:v>
                </c:pt>
                <c:pt idx="70">
                  <c:v>0.5125</c:v>
                </c:pt>
                <c:pt idx="71">
                  <c:v>0.516666667</c:v>
                </c:pt>
                <c:pt idx="72">
                  <c:v>0.520833333</c:v>
                </c:pt>
                <c:pt idx="73">
                  <c:v>0.541666667</c:v>
                </c:pt>
                <c:pt idx="74">
                  <c:v>0.5625</c:v>
                </c:pt>
                <c:pt idx="75">
                  <c:v>0.583333333</c:v>
                </c:pt>
                <c:pt idx="76">
                  <c:v>0.604166667</c:v>
                </c:pt>
                <c:pt idx="77">
                  <c:v>0.625</c:v>
                </c:pt>
                <c:pt idx="78">
                  <c:v>0.645833333</c:v>
                </c:pt>
                <c:pt idx="79">
                  <c:v>0.666666667</c:v>
                </c:pt>
                <c:pt idx="80">
                  <c:v>0.6875</c:v>
                </c:pt>
                <c:pt idx="81">
                  <c:v>0.708333333</c:v>
                </c:pt>
              </c:strCache>
            </c:strRef>
          </c:cat>
          <c:val>
            <c:numRef>
              <c:f>'-3'!$E$2:$E$82</c:f>
              <c:numCache>
                <c:formatCode>General</c:formatCode>
                <c:ptCount val="81"/>
                <c:pt idx="0">
                  <c:v>1.007084324336079</c:v>
                </c:pt>
                <c:pt idx="1">
                  <c:v>1.0059287481386985</c:v>
                </c:pt>
                <c:pt idx="2">
                  <c:v>1.0062177666041188</c:v>
                </c:pt>
                <c:pt idx="3">
                  <c:v>1.0065067020778715</c:v>
                </c:pt>
                <c:pt idx="4">
                  <c:v>1.0056396466100554</c:v>
                </c:pt>
                <c:pt idx="5">
                  <c:v>1.0065067020778715</c:v>
                </c:pt>
                <c:pt idx="6">
                  <c:v>1.0059287481386985</c:v>
                </c:pt>
                <c:pt idx="7">
                  <c:v>1.0053504619465321</c:v>
                </c:pt>
                <c:pt idx="8">
                  <c:v>1.0056396466100554</c:v>
                </c:pt>
                <c:pt idx="9">
                  <c:v>1.0050611940763672</c:v>
                </c:pt>
                <c:pt idx="10">
                  <c:v>1.0053504619465321</c:v>
                </c:pt>
                <c:pt idx="11">
                  <c:v>1.0056396466100554</c:v>
                </c:pt>
                <c:pt idx="12">
                  <c:v>1.0044824084285546</c:v>
                </c:pt>
                <c:pt idx="13">
                  <c:v>1.0047718429276973</c:v>
                </c:pt>
                <c:pt idx="14">
                  <c:v>1.0044824084285546</c:v>
                </c:pt>
                <c:pt idx="15">
                  <c:v>1.0050611940763672</c:v>
                </c:pt>
                <c:pt idx="16">
                  <c:v>1.0044824084285546</c:v>
                </c:pt>
                <c:pt idx="17">
                  <c:v>1.0053504619465321</c:v>
                </c:pt>
                <c:pt idx="18">
                  <c:v>1.0044824084285546</c:v>
                </c:pt>
                <c:pt idx="19">
                  <c:v>1.003323835484268</c:v>
                </c:pt>
                <c:pt idx="20">
                  <c:v>1.0041928905068676</c:v>
                </c:pt>
                <c:pt idx="21">
                  <c:v>1.0044824084285546</c:v>
                </c:pt>
                <c:pt idx="22">
                  <c:v>1.0039032890904611</c:v>
                </c:pt>
                <c:pt idx="23">
                  <c:v>1.003323835484268</c:v>
                </c:pt>
                <c:pt idx="24">
                  <c:v>1.0024540270542019</c:v>
                </c:pt>
                <c:pt idx="25">
                  <c:v>1.0030339831496091</c:v>
                </c:pt>
                <c:pt idx="26">
                  <c:v>1.0039032890904611</c:v>
                </c:pt>
                <c:pt idx="27">
                  <c:v>1.0027440470304865</c:v>
                </c:pt>
                <c:pt idx="28">
                  <c:v>1.003323835484268</c:v>
                </c:pt>
                <c:pt idx="29">
                  <c:v>1.0030339831496091</c:v>
                </c:pt>
                <c:pt idx="30">
                  <c:v>1.0039032890904611</c:v>
                </c:pt>
                <c:pt idx="31">
                  <c:v>1.0039032890904611</c:v>
                </c:pt>
                <c:pt idx="32">
                  <c:v>1.0024540270542019</c:v>
                </c:pt>
                <c:pt idx="33">
                  <c:v>1.0024540270542019</c:v>
                </c:pt>
                <c:pt idx="34">
                  <c:v>1.0015834632538174</c:v>
                </c:pt>
                <c:pt idx="35">
                  <c:v>0.99838490142164105</c:v>
                </c:pt>
                <c:pt idx="36">
                  <c:v>0.99459152113523741</c:v>
                </c:pt>
                <c:pt idx="37">
                  <c:v>0.99283584188261165</c:v>
                </c:pt>
                <c:pt idx="38">
                  <c:v>0.98843300049035987</c:v>
                </c:pt>
                <c:pt idx="39">
                  <c:v>0.9843059135695007</c:v>
                </c:pt>
                <c:pt idx="40">
                  <c:v>0.98193979016269328</c:v>
                </c:pt>
                <c:pt idx="41">
                  <c:v>0.97778529674682058</c:v>
                </c:pt>
                <c:pt idx="42">
                  <c:v>0.97092146648570621</c:v>
                </c:pt>
                <c:pt idx="43">
                  <c:v>0.9658168494174203</c:v>
                </c:pt>
                <c:pt idx="44">
                  <c:v>0.96098773491253364</c:v>
                </c:pt>
                <c:pt idx="45">
                  <c:v>0.9582606634790426</c:v>
                </c:pt>
                <c:pt idx="46">
                  <c:v>0.95308823920303021</c:v>
                </c:pt>
                <c:pt idx="47">
                  <c:v>0.94972636544971301</c:v>
                </c:pt>
                <c:pt idx="48">
                  <c:v>0.94788759051006177</c:v>
                </c:pt>
                <c:pt idx="49">
                  <c:v>0.94665975632821897</c:v>
                </c:pt>
                <c:pt idx="50">
                  <c:v>0.9485009115645352</c:v>
                </c:pt>
                <c:pt idx="51">
                  <c:v>0.95186711347517683</c:v>
                </c:pt>
                <c:pt idx="52">
                  <c:v>0.95369821573856184</c:v>
                </c:pt>
                <c:pt idx="53">
                  <c:v>0.96007957178488401</c:v>
                </c:pt>
                <c:pt idx="54">
                  <c:v>0.96491323139695639</c:v>
                </c:pt>
                <c:pt idx="55">
                  <c:v>0.97331437576247148</c:v>
                </c:pt>
                <c:pt idx="56">
                  <c:v>0.97808263149498753</c:v>
                </c:pt>
                <c:pt idx="57">
                  <c:v>0.98253185520905029</c:v>
                </c:pt>
                <c:pt idx="58">
                  <c:v>0.98872713321536165</c:v>
                </c:pt>
                <c:pt idx="59">
                  <c:v>0.99019648628225665</c:v>
                </c:pt>
                <c:pt idx="60">
                  <c:v>0.99459152113523741</c:v>
                </c:pt>
                <c:pt idx="61">
                  <c:v>0.99721924439670362</c:v>
                </c:pt>
                <c:pt idx="62">
                  <c:v>1.0004215330908983</c:v>
                </c:pt>
                <c:pt idx="63">
                  <c:v>1.0015834632538174</c:v>
                </c:pt>
                <c:pt idx="64">
                  <c:v>1.0024540270542019</c:v>
                </c:pt>
                <c:pt idx="65">
                  <c:v>1.0027440470304865</c:v>
                </c:pt>
                <c:pt idx="66">
                  <c:v>1.0001308396275217</c:v>
                </c:pt>
                <c:pt idx="67">
                  <c:v>1.0030339831496091</c:v>
                </c:pt>
                <c:pt idx="68">
                  <c:v>1.0024540270542019</c:v>
                </c:pt>
                <c:pt idx="69">
                  <c:v>1.003323835484268</c:v>
                </c:pt>
                <c:pt idx="70">
                  <c:v>1.0030339831496091</c:v>
                </c:pt>
                <c:pt idx="71">
                  <c:v>1.0030339831496091</c:v>
                </c:pt>
                <c:pt idx="72">
                  <c:v>1.003323835484268</c:v>
                </c:pt>
                <c:pt idx="73">
                  <c:v>1.0027440470304865</c:v>
                </c:pt>
                <c:pt idx="74">
                  <c:v>1.003323835484268</c:v>
                </c:pt>
                <c:pt idx="75">
                  <c:v>1.0030339831496091</c:v>
                </c:pt>
                <c:pt idx="76">
                  <c:v>1.0024540270542019</c:v>
                </c:pt>
                <c:pt idx="77">
                  <c:v>1.0036136041070558</c:v>
                </c:pt>
                <c:pt idx="78">
                  <c:v>1.0041928905068676</c:v>
                </c:pt>
                <c:pt idx="79">
                  <c:v>1.0030339831496091</c:v>
                </c:pt>
                <c:pt idx="80">
                  <c:v>1.0036136041070558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F-445E-923F-CA5405ED0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953919"/>
        <c:axId val="778955359"/>
      </c:lineChart>
      <c:catAx>
        <c:axId val="7789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955359"/>
        <c:crosses val="autoZero"/>
        <c:auto val="1"/>
        <c:lblAlgn val="ctr"/>
        <c:lblOffset val="100"/>
        <c:noMultiLvlLbl val="0"/>
      </c:catAx>
      <c:valAx>
        <c:axId val="7789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95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259080</xdr:colOff>
      <xdr:row>201</xdr:row>
      <xdr:rowOff>87630</xdr:rowOff>
    </xdr:from>
    <xdr:to>
      <xdr:col>18</xdr:col>
      <xdr:colOff>563880</xdr:colOff>
      <xdr:row>216</xdr:row>
      <xdr:rowOff>87630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FEF676-8F3F-BE59-17E6-8719B8E9A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200121</xdr:colOff>
      <xdr:row>74</xdr:row>
      <xdr:rowOff>33097</xdr:rowOff>
    </xdr:from>
    <xdr:to>
      <xdr:col>17</xdr:col>
      <xdr:colOff>515697</xdr:colOff>
      <xdr:row>89</xdr:row>
      <xdr:rowOff>5388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D2AE70-C3BB-8740-28CB-2B3C26B9C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346364</xdr:colOff>
      <xdr:row>6</xdr:row>
      <xdr:rowOff>56188</xdr:rowOff>
    </xdr:from>
    <xdr:to>
      <xdr:col>14</xdr:col>
      <xdr:colOff>53879</xdr:colOff>
      <xdr:row>21</xdr:row>
      <xdr:rowOff>28479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32B412D-5206-52C7-3ECE-748B0E261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17</xdr:col>
      <xdr:colOff>304800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0BCBF5-AF49-4D79-AA31-22BCA1D44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6</xdr:row>
      <xdr:rowOff>41910</xdr:rowOff>
    </xdr:from>
    <xdr:to>
      <xdr:col>14</xdr:col>
      <xdr:colOff>403860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5113EC-7291-BE70-A95A-09C30FF0F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0798-4862-43A4-B1B1-FB26CBB8221A}">
  <dimension ref="A1:I99"/>
  <sheetViews>
    <sheetView zoomScale="99" workbookViewId="0">
      <selection activeCell="R4" sqref="R4"/>
    </sheetView>
  </sheetViews>
  <sheetFormatPr defaultRowHeight="14.4" x14ac:dyDescent="0.3"/>
  <cols>
    <col min="2" max="2" width="15.21875" bestFit="1" customWidth="1"/>
    <col min="5" max="5" width="15.21875" bestFit="1" customWidth="1"/>
  </cols>
  <sheetData>
    <row r="1" spans="1:9" x14ac:dyDescent="0.3">
      <c r="A1" t="s">
        <v>3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</row>
    <row r="2" spans="1:9" x14ac:dyDescent="0.3">
      <c r="A2" t="s">
        <v>4</v>
      </c>
      <c r="D2">
        <v>200</v>
      </c>
      <c r="E2">
        <v>174.3</v>
      </c>
      <c r="F2">
        <f>(2*E2)/1.13</f>
        <v>308.49557522123899</v>
      </c>
      <c r="G2">
        <f>SQRT(F2)</f>
        <v>17.564042109413169</v>
      </c>
      <c r="H2">
        <f>(D2-200)/200</f>
        <v>0</v>
      </c>
      <c r="I2">
        <f>G2/17.56</f>
        <v>1.0002301884631646</v>
      </c>
    </row>
    <row r="3" spans="1:9" x14ac:dyDescent="0.3">
      <c r="A3" t="s">
        <v>5</v>
      </c>
      <c r="D3">
        <v>205</v>
      </c>
      <c r="E3">
        <v>174.5</v>
      </c>
      <c r="F3">
        <f t="shared" ref="F3:F66" si="0">(2*E3)/1.13</f>
        <v>308.84955752212392</v>
      </c>
      <c r="G3">
        <f t="shared" ref="G3:G66" si="1">SQRT(F3)</f>
        <v>17.574116123496051</v>
      </c>
      <c r="H3">
        <f t="shared" ref="H3:H66" si="2">(D3-200)/200</f>
        <v>2.5000000000000001E-2</v>
      </c>
      <c r="I3">
        <f t="shared" ref="I3:I66" si="3">G3/17.56</f>
        <v>1.0008038794701624</v>
      </c>
    </row>
    <row r="4" spans="1:9" x14ac:dyDescent="0.3">
      <c r="D4">
        <v>210</v>
      </c>
      <c r="E4">
        <v>174.1</v>
      </c>
      <c r="F4">
        <f t="shared" si="0"/>
        <v>308.14159292035401</v>
      </c>
      <c r="G4">
        <f t="shared" si="1"/>
        <v>17.553962313972136</v>
      </c>
      <c r="H4">
        <f t="shared" si="2"/>
        <v>0.05</v>
      </c>
      <c r="I4">
        <f t="shared" si="3"/>
        <v>0.99965616822164793</v>
      </c>
    </row>
    <row r="5" spans="1:9" x14ac:dyDescent="0.3">
      <c r="D5">
        <v>215</v>
      </c>
      <c r="E5">
        <v>174.6</v>
      </c>
      <c r="F5">
        <f t="shared" si="0"/>
        <v>309.02654867256638</v>
      </c>
      <c r="G5">
        <f t="shared" si="1"/>
        <v>17.579150965634444</v>
      </c>
      <c r="H5">
        <f t="shared" si="2"/>
        <v>7.4999999999999997E-2</v>
      </c>
      <c r="I5">
        <f t="shared" si="3"/>
        <v>1.0010906016876107</v>
      </c>
    </row>
    <row r="6" spans="1:9" x14ac:dyDescent="0.3">
      <c r="D6">
        <v>220</v>
      </c>
      <c r="E6">
        <v>174.5</v>
      </c>
      <c r="F6">
        <f t="shared" si="0"/>
        <v>308.84955752212392</v>
      </c>
      <c r="G6">
        <f t="shared" si="1"/>
        <v>17.574116123496051</v>
      </c>
      <c r="H6">
        <f t="shared" si="2"/>
        <v>0.1</v>
      </c>
      <c r="I6">
        <f t="shared" si="3"/>
        <v>1.0008038794701624</v>
      </c>
    </row>
    <row r="7" spans="1:9" x14ac:dyDescent="0.3">
      <c r="D7">
        <v>225</v>
      </c>
      <c r="E7">
        <v>174.6</v>
      </c>
      <c r="F7">
        <f t="shared" si="0"/>
        <v>309.02654867256638</v>
      </c>
      <c r="G7">
        <f t="shared" si="1"/>
        <v>17.579150965634444</v>
      </c>
      <c r="H7">
        <f t="shared" si="2"/>
        <v>0.125</v>
      </c>
      <c r="I7">
        <f t="shared" si="3"/>
        <v>1.0010906016876107</v>
      </c>
    </row>
    <row r="8" spans="1:9" x14ac:dyDescent="0.3">
      <c r="D8">
        <v>230</v>
      </c>
      <c r="E8">
        <v>174.3</v>
      </c>
      <c r="F8">
        <f t="shared" si="0"/>
        <v>308.49557522123899</v>
      </c>
      <c r="G8">
        <f t="shared" si="1"/>
        <v>17.564042109413169</v>
      </c>
      <c r="H8">
        <f t="shared" si="2"/>
        <v>0.15</v>
      </c>
      <c r="I8">
        <f t="shared" si="3"/>
        <v>1.0002301884631646</v>
      </c>
    </row>
    <row r="9" spans="1:9" x14ac:dyDescent="0.3">
      <c r="D9">
        <v>235</v>
      </c>
      <c r="E9">
        <v>174.2</v>
      </c>
      <c r="F9">
        <f t="shared" si="0"/>
        <v>308.31858407079648</v>
      </c>
      <c r="G9">
        <f t="shared" si="1"/>
        <v>17.559002934984562</v>
      </c>
      <c r="H9">
        <f t="shared" si="2"/>
        <v>0.17499999999999999</v>
      </c>
      <c r="I9">
        <f t="shared" si="3"/>
        <v>0.9999432195321506</v>
      </c>
    </row>
    <row r="10" spans="1:9" x14ac:dyDescent="0.3">
      <c r="D10">
        <v>240</v>
      </c>
      <c r="E10">
        <v>174.1</v>
      </c>
      <c r="F10">
        <f t="shared" si="0"/>
        <v>308.14159292035401</v>
      </c>
      <c r="G10">
        <f t="shared" si="1"/>
        <v>17.553962313972136</v>
      </c>
      <c r="H10">
        <f t="shared" si="2"/>
        <v>0.2</v>
      </c>
      <c r="I10">
        <f t="shared" si="3"/>
        <v>0.99965616822164793</v>
      </c>
    </row>
    <row r="11" spans="1:9" x14ac:dyDescent="0.3">
      <c r="D11">
        <v>245</v>
      </c>
      <c r="E11">
        <v>174.3</v>
      </c>
      <c r="F11">
        <f t="shared" si="0"/>
        <v>308.49557522123899</v>
      </c>
      <c r="G11">
        <f t="shared" si="1"/>
        <v>17.564042109413169</v>
      </c>
      <c r="H11">
        <f t="shared" si="2"/>
        <v>0.22500000000000001</v>
      </c>
      <c r="I11">
        <f t="shared" si="3"/>
        <v>1.0002301884631646</v>
      </c>
    </row>
    <row r="12" spans="1:9" x14ac:dyDescent="0.3">
      <c r="D12">
        <v>250</v>
      </c>
      <c r="E12">
        <v>174.8</v>
      </c>
      <c r="F12">
        <f t="shared" si="0"/>
        <v>309.38053097345136</v>
      </c>
      <c r="G12">
        <f t="shared" si="1"/>
        <v>17.589216326302072</v>
      </c>
      <c r="H12">
        <f t="shared" si="2"/>
        <v>0.25</v>
      </c>
      <c r="I12">
        <f t="shared" si="3"/>
        <v>1.0016637999033071</v>
      </c>
    </row>
    <row r="13" spans="1:9" x14ac:dyDescent="0.3">
      <c r="D13">
        <v>252</v>
      </c>
      <c r="E13">
        <v>174.6</v>
      </c>
      <c r="F13">
        <f t="shared" si="0"/>
        <v>309.02654867256638</v>
      </c>
      <c r="G13">
        <f t="shared" si="1"/>
        <v>17.579150965634444</v>
      </c>
      <c r="H13">
        <f t="shared" si="2"/>
        <v>0.26</v>
      </c>
      <c r="I13">
        <f t="shared" si="3"/>
        <v>1.0010906016876107</v>
      </c>
    </row>
    <row r="14" spans="1:9" x14ac:dyDescent="0.3">
      <c r="D14">
        <v>254</v>
      </c>
      <c r="E14">
        <v>174.8</v>
      </c>
      <c r="F14">
        <f t="shared" si="0"/>
        <v>309.38053097345136</v>
      </c>
      <c r="G14">
        <f t="shared" si="1"/>
        <v>17.589216326302072</v>
      </c>
      <c r="H14">
        <f t="shared" si="2"/>
        <v>0.27</v>
      </c>
      <c r="I14">
        <f t="shared" si="3"/>
        <v>1.0016637999033071</v>
      </c>
    </row>
    <row r="15" spans="1:9" x14ac:dyDescent="0.3">
      <c r="D15">
        <v>256</v>
      </c>
      <c r="E15">
        <v>174.1</v>
      </c>
      <c r="F15">
        <f t="shared" si="0"/>
        <v>308.14159292035401</v>
      </c>
      <c r="G15">
        <f t="shared" si="1"/>
        <v>17.553962313972136</v>
      </c>
      <c r="H15">
        <f t="shared" si="2"/>
        <v>0.28000000000000003</v>
      </c>
      <c r="I15">
        <f t="shared" si="3"/>
        <v>0.99965616822164793</v>
      </c>
    </row>
    <row r="16" spans="1:9" x14ac:dyDescent="0.3">
      <c r="D16">
        <v>258</v>
      </c>
      <c r="E16">
        <v>174.1</v>
      </c>
      <c r="F16">
        <f t="shared" si="0"/>
        <v>308.14159292035401</v>
      </c>
      <c r="G16">
        <f t="shared" si="1"/>
        <v>17.553962313972136</v>
      </c>
      <c r="H16">
        <f t="shared" si="2"/>
        <v>0.28999999999999998</v>
      </c>
      <c r="I16">
        <f t="shared" si="3"/>
        <v>0.99965616822164793</v>
      </c>
    </row>
    <row r="17" spans="4:9" x14ac:dyDescent="0.3">
      <c r="D17">
        <v>260</v>
      </c>
      <c r="E17">
        <v>174.9</v>
      </c>
      <c r="F17">
        <f t="shared" si="0"/>
        <v>309.55752212389382</v>
      </c>
      <c r="G17">
        <f t="shared" si="1"/>
        <v>17.59424684730477</v>
      </c>
      <c r="H17">
        <f t="shared" si="2"/>
        <v>0.3</v>
      </c>
      <c r="I17">
        <f t="shared" si="3"/>
        <v>1.001950276042413</v>
      </c>
    </row>
    <row r="18" spans="4:9" x14ac:dyDescent="0.3">
      <c r="D18">
        <v>262</v>
      </c>
      <c r="E18">
        <v>174.4</v>
      </c>
      <c r="F18">
        <f t="shared" si="0"/>
        <v>308.67256637168146</v>
      </c>
      <c r="G18">
        <f t="shared" si="1"/>
        <v>17.569079838502685</v>
      </c>
      <c r="H18">
        <f t="shared" si="2"/>
        <v>0.31</v>
      </c>
      <c r="I18">
        <f t="shared" si="3"/>
        <v>1.0005170750855743</v>
      </c>
    </row>
    <row r="19" spans="4:9" x14ac:dyDescent="0.3">
      <c r="D19">
        <v>264</v>
      </c>
      <c r="E19">
        <v>174.4</v>
      </c>
      <c r="F19">
        <f t="shared" si="0"/>
        <v>308.67256637168146</v>
      </c>
      <c r="G19">
        <f t="shared" si="1"/>
        <v>17.569079838502685</v>
      </c>
      <c r="H19">
        <f t="shared" si="2"/>
        <v>0.32</v>
      </c>
      <c r="I19">
        <f t="shared" si="3"/>
        <v>1.0005170750855743</v>
      </c>
    </row>
    <row r="20" spans="4:9" x14ac:dyDescent="0.3">
      <c r="D20">
        <v>266</v>
      </c>
      <c r="E20">
        <v>174.2</v>
      </c>
      <c r="F20">
        <f t="shared" si="0"/>
        <v>308.31858407079648</v>
      </c>
      <c r="G20">
        <f t="shared" si="1"/>
        <v>17.559002934984562</v>
      </c>
      <c r="H20">
        <f t="shared" si="2"/>
        <v>0.33</v>
      </c>
      <c r="I20">
        <f t="shared" si="3"/>
        <v>0.9999432195321506</v>
      </c>
    </row>
    <row r="21" spans="4:9" x14ac:dyDescent="0.3">
      <c r="D21">
        <v>268</v>
      </c>
      <c r="E21">
        <v>174.5</v>
      </c>
      <c r="F21">
        <f t="shared" si="0"/>
        <v>308.84955752212392</v>
      </c>
      <c r="G21">
        <f t="shared" si="1"/>
        <v>17.574116123496051</v>
      </c>
      <c r="H21">
        <f t="shared" si="2"/>
        <v>0.34</v>
      </c>
      <c r="I21">
        <f t="shared" si="3"/>
        <v>1.0008038794701624</v>
      </c>
    </row>
    <row r="22" spans="4:9" x14ac:dyDescent="0.3">
      <c r="D22">
        <v>270</v>
      </c>
      <c r="E22">
        <v>174.6</v>
      </c>
      <c r="F22">
        <f t="shared" si="0"/>
        <v>309.02654867256638</v>
      </c>
      <c r="G22">
        <f t="shared" si="1"/>
        <v>17.579150965634444</v>
      </c>
      <c r="H22">
        <f t="shared" si="2"/>
        <v>0.35</v>
      </c>
      <c r="I22">
        <f t="shared" si="3"/>
        <v>1.0010906016876107</v>
      </c>
    </row>
    <row r="23" spans="4:9" x14ac:dyDescent="0.3">
      <c r="D23">
        <v>272</v>
      </c>
      <c r="E23">
        <v>174.5</v>
      </c>
      <c r="F23">
        <f t="shared" si="0"/>
        <v>308.84955752212392</v>
      </c>
      <c r="G23">
        <f t="shared" si="1"/>
        <v>17.574116123496051</v>
      </c>
      <c r="H23">
        <f t="shared" si="2"/>
        <v>0.36</v>
      </c>
      <c r="I23">
        <f t="shared" si="3"/>
        <v>1.0008038794701624</v>
      </c>
    </row>
    <row r="24" spans="4:9" x14ac:dyDescent="0.3">
      <c r="D24">
        <v>274</v>
      </c>
      <c r="E24">
        <v>174.4</v>
      </c>
      <c r="F24">
        <f t="shared" si="0"/>
        <v>308.67256637168146</v>
      </c>
      <c r="G24">
        <f t="shared" si="1"/>
        <v>17.569079838502685</v>
      </c>
      <c r="H24">
        <f t="shared" si="2"/>
        <v>0.37</v>
      </c>
      <c r="I24">
        <f t="shared" si="3"/>
        <v>1.0005170750855743</v>
      </c>
    </row>
    <row r="25" spans="4:9" x14ac:dyDescent="0.3">
      <c r="D25">
        <v>276</v>
      </c>
      <c r="E25">
        <v>174.4</v>
      </c>
      <c r="F25">
        <f t="shared" si="0"/>
        <v>308.67256637168146</v>
      </c>
      <c r="G25">
        <f t="shared" si="1"/>
        <v>17.569079838502685</v>
      </c>
      <c r="H25">
        <f t="shared" si="2"/>
        <v>0.38</v>
      </c>
      <c r="I25">
        <f t="shared" si="3"/>
        <v>1.0005170750855743</v>
      </c>
    </row>
    <row r="26" spans="4:9" x14ac:dyDescent="0.3">
      <c r="D26">
        <v>278</v>
      </c>
      <c r="E26">
        <v>174.6</v>
      </c>
      <c r="F26">
        <f t="shared" si="0"/>
        <v>309.02654867256638</v>
      </c>
      <c r="G26">
        <f t="shared" si="1"/>
        <v>17.579150965634444</v>
      </c>
      <c r="H26">
        <f t="shared" si="2"/>
        <v>0.39</v>
      </c>
      <c r="I26">
        <f t="shared" si="3"/>
        <v>1.0010906016876107</v>
      </c>
    </row>
    <row r="27" spans="4:9" x14ac:dyDescent="0.3">
      <c r="D27">
        <v>280</v>
      </c>
      <c r="E27">
        <v>174.5</v>
      </c>
      <c r="F27">
        <f t="shared" si="0"/>
        <v>308.84955752212392</v>
      </c>
      <c r="G27">
        <f t="shared" si="1"/>
        <v>17.574116123496051</v>
      </c>
      <c r="H27">
        <f t="shared" si="2"/>
        <v>0.4</v>
      </c>
      <c r="I27">
        <f t="shared" si="3"/>
        <v>1.0008038794701624</v>
      </c>
    </row>
    <row r="28" spans="4:9" x14ac:dyDescent="0.3">
      <c r="D28">
        <v>282</v>
      </c>
      <c r="E28">
        <v>174.6</v>
      </c>
      <c r="F28">
        <f t="shared" si="0"/>
        <v>309.02654867256638</v>
      </c>
      <c r="G28">
        <f t="shared" si="1"/>
        <v>17.579150965634444</v>
      </c>
      <c r="H28">
        <f t="shared" si="2"/>
        <v>0.41</v>
      </c>
      <c r="I28">
        <f t="shared" si="3"/>
        <v>1.0010906016876107</v>
      </c>
    </row>
    <row r="29" spans="4:9" x14ac:dyDescent="0.3">
      <c r="D29">
        <v>284</v>
      </c>
      <c r="E29">
        <v>174.7</v>
      </c>
      <c r="F29">
        <f t="shared" si="0"/>
        <v>309.20353982300884</v>
      </c>
      <c r="G29">
        <f t="shared" si="1"/>
        <v>17.584184366157245</v>
      </c>
      <c r="H29">
        <f t="shared" si="2"/>
        <v>0.42</v>
      </c>
      <c r="I29">
        <f t="shared" si="3"/>
        <v>1.0013772418084992</v>
      </c>
    </row>
    <row r="30" spans="4:9" x14ac:dyDescent="0.3">
      <c r="D30">
        <v>286</v>
      </c>
      <c r="E30">
        <v>174.4</v>
      </c>
      <c r="F30">
        <f t="shared" si="0"/>
        <v>308.67256637168146</v>
      </c>
      <c r="G30">
        <f t="shared" si="1"/>
        <v>17.569079838502685</v>
      </c>
      <c r="H30">
        <f t="shared" si="2"/>
        <v>0.43</v>
      </c>
      <c r="I30">
        <f t="shared" si="3"/>
        <v>1.0005170750855743</v>
      </c>
    </row>
    <row r="31" spans="4:9" x14ac:dyDescent="0.3">
      <c r="D31">
        <v>288</v>
      </c>
      <c r="E31">
        <v>174.2</v>
      </c>
      <c r="F31">
        <f t="shared" si="0"/>
        <v>308.31858407079648</v>
      </c>
      <c r="G31">
        <f t="shared" si="1"/>
        <v>17.559002934984562</v>
      </c>
      <c r="H31">
        <f t="shared" si="2"/>
        <v>0.44</v>
      </c>
      <c r="I31">
        <f t="shared" si="3"/>
        <v>0.9999432195321506</v>
      </c>
    </row>
    <row r="32" spans="4:9" x14ac:dyDescent="0.3">
      <c r="D32">
        <v>290</v>
      </c>
      <c r="E32">
        <v>174.3</v>
      </c>
      <c r="F32">
        <f t="shared" si="0"/>
        <v>308.49557522123899</v>
      </c>
      <c r="G32">
        <f t="shared" si="1"/>
        <v>17.564042109413169</v>
      </c>
      <c r="H32">
        <f t="shared" si="2"/>
        <v>0.45</v>
      </c>
      <c r="I32">
        <f t="shared" si="3"/>
        <v>1.0002301884631646</v>
      </c>
    </row>
    <row r="33" spans="4:9" x14ac:dyDescent="0.3">
      <c r="D33">
        <v>292</v>
      </c>
      <c r="E33">
        <v>174.1</v>
      </c>
      <c r="F33">
        <f t="shared" si="0"/>
        <v>308.14159292035401</v>
      </c>
      <c r="G33">
        <f t="shared" si="1"/>
        <v>17.553962313972136</v>
      </c>
      <c r="H33">
        <f t="shared" si="2"/>
        <v>0.46</v>
      </c>
      <c r="I33">
        <f t="shared" si="3"/>
        <v>0.99965616822164793</v>
      </c>
    </row>
    <row r="34" spans="4:9" x14ac:dyDescent="0.3">
      <c r="D34">
        <v>294</v>
      </c>
      <c r="E34">
        <v>174.4</v>
      </c>
      <c r="F34">
        <f t="shared" si="0"/>
        <v>308.67256637168146</v>
      </c>
      <c r="G34">
        <f t="shared" si="1"/>
        <v>17.569079838502685</v>
      </c>
      <c r="H34">
        <f t="shared" si="2"/>
        <v>0.47</v>
      </c>
      <c r="I34">
        <f t="shared" si="3"/>
        <v>1.0005170750855743</v>
      </c>
    </row>
    <row r="35" spans="4:9" x14ac:dyDescent="0.3">
      <c r="D35">
        <v>296</v>
      </c>
      <c r="E35">
        <v>174.1</v>
      </c>
      <c r="F35">
        <f t="shared" si="0"/>
        <v>308.14159292035401</v>
      </c>
      <c r="G35">
        <f t="shared" si="1"/>
        <v>17.553962313972136</v>
      </c>
      <c r="H35">
        <f t="shared" si="2"/>
        <v>0.48</v>
      </c>
      <c r="I35">
        <f t="shared" si="3"/>
        <v>0.99965616822164793</v>
      </c>
    </row>
    <row r="36" spans="4:9" x14ac:dyDescent="0.3">
      <c r="D36">
        <v>298</v>
      </c>
      <c r="E36">
        <v>174.2</v>
      </c>
      <c r="F36">
        <f t="shared" si="0"/>
        <v>308.31858407079648</v>
      </c>
      <c r="G36">
        <f t="shared" si="1"/>
        <v>17.559002934984562</v>
      </c>
      <c r="H36">
        <f t="shared" si="2"/>
        <v>0.49</v>
      </c>
      <c r="I36">
        <f t="shared" si="3"/>
        <v>0.9999432195321506</v>
      </c>
    </row>
    <row r="37" spans="4:9" x14ac:dyDescent="0.3">
      <c r="D37">
        <v>300</v>
      </c>
      <c r="E37">
        <v>174.3</v>
      </c>
      <c r="F37">
        <f t="shared" si="0"/>
        <v>308.49557522123899</v>
      </c>
      <c r="G37">
        <f t="shared" si="1"/>
        <v>17.564042109413169</v>
      </c>
      <c r="H37">
        <f t="shared" si="2"/>
        <v>0.5</v>
      </c>
      <c r="I37">
        <f t="shared" si="3"/>
        <v>1.0002301884631646</v>
      </c>
    </row>
    <row r="38" spans="4:9" x14ac:dyDescent="0.3">
      <c r="D38">
        <v>302</v>
      </c>
      <c r="E38">
        <v>174.6</v>
      </c>
      <c r="F38">
        <f t="shared" si="0"/>
        <v>309.02654867256638</v>
      </c>
      <c r="G38">
        <f t="shared" si="1"/>
        <v>17.579150965634444</v>
      </c>
      <c r="H38">
        <f t="shared" si="2"/>
        <v>0.51</v>
      </c>
      <c r="I38">
        <f t="shared" si="3"/>
        <v>1.0010906016876107</v>
      </c>
    </row>
    <row r="39" spans="4:9" x14ac:dyDescent="0.3">
      <c r="D39">
        <v>304</v>
      </c>
      <c r="E39">
        <v>174</v>
      </c>
      <c r="F39">
        <f t="shared" si="0"/>
        <v>307.96460176991155</v>
      </c>
      <c r="G39">
        <f t="shared" si="1"/>
        <v>17.548920245129374</v>
      </c>
      <c r="H39">
        <f t="shared" si="2"/>
        <v>0.52</v>
      </c>
      <c r="I39">
        <f t="shared" si="3"/>
        <v>0.9993690344606706</v>
      </c>
    </row>
    <row r="40" spans="4:9" x14ac:dyDescent="0.3">
      <c r="D40">
        <v>306</v>
      </c>
      <c r="E40">
        <v>174.4</v>
      </c>
      <c r="F40">
        <f t="shared" si="0"/>
        <v>308.67256637168146</v>
      </c>
      <c r="G40">
        <f t="shared" si="1"/>
        <v>17.569079838502685</v>
      </c>
      <c r="H40">
        <f t="shared" si="2"/>
        <v>0.53</v>
      </c>
      <c r="I40">
        <f t="shared" si="3"/>
        <v>1.0005170750855743</v>
      </c>
    </row>
    <row r="41" spans="4:9" x14ac:dyDescent="0.3">
      <c r="D41">
        <v>308</v>
      </c>
      <c r="E41">
        <v>173.8</v>
      </c>
      <c r="F41">
        <f t="shared" si="0"/>
        <v>307.61061946902657</v>
      </c>
      <c r="G41">
        <f t="shared" si="1"/>
        <v>17.538831758957794</v>
      </c>
      <c r="H41">
        <f t="shared" si="2"/>
        <v>0.54</v>
      </c>
      <c r="I41">
        <f t="shared" si="3"/>
        <v>0.99879451930283569</v>
      </c>
    </row>
    <row r="42" spans="4:9" x14ac:dyDescent="0.3">
      <c r="D42">
        <v>310</v>
      </c>
      <c r="E42">
        <v>173.8</v>
      </c>
      <c r="F42">
        <f t="shared" si="0"/>
        <v>307.61061946902657</v>
      </c>
      <c r="G42">
        <f t="shared" si="1"/>
        <v>17.538831758957794</v>
      </c>
      <c r="H42">
        <f t="shared" si="2"/>
        <v>0.55000000000000004</v>
      </c>
      <c r="I42">
        <f t="shared" si="3"/>
        <v>0.99879451930283569</v>
      </c>
    </row>
    <row r="43" spans="4:9" x14ac:dyDescent="0.3">
      <c r="D43">
        <v>312</v>
      </c>
      <c r="E43">
        <v>173.7</v>
      </c>
      <c r="F43">
        <f t="shared" si="0"/>
        <v>307.43362831858406</v>
      </c>
      <c r="G43">
        <f t="shared" si="1"/>
        <v>17.533785339126975</v>
      </c>
      <c r="H43">
        <f t="shared" si="2"/>
        <v>0.56000000000000005</v>
      </c>
      <c r="I43">
        <f t="shared" si="3"/>
        <v>0.9985071377634952</v>
      </c>
    </row>
    <row r="44" spans="4:9" x14ac:dyDescent="0.3">
      <c r="D44">
        <v>314</v>
      </c>
      <c r="E44">
        <v>173.9</v>
      </c>
      <c r="F44">
        <f t="shared" si="0"/>
        <v>307.78761061946909</v>
      </c>
      <c r="G44">
        <f t="shared" si="1"/>
        <v>17.543876727207959</v>
      </c>
      <c r="H44">
        <f t="shared" si="2"/>
        <v>0.56999999999999995</v>
      </c>
      <c r="I44">
        <f t="shared" si="3"/>
        <v>0.9990818181781298</v>
      </c>
    </row>
    <row r="45" spans="4:9" x14ac:dyDescent="0.3">
      <c r="D45">
        <v>316</v>
      </c>
      <c r="E45">
        <v>173.6</v>
      </c>
      <c r="F45">
        <f t="shared" si="0"/>
        <v>307.25663716814159</v>
      </c>
      <c r="G45">
        <f t="shared" si="1"/>
        <v>17.528737466461799</v>
      </c>
      <c r="H45">
        <f t="shared" si="2"/>
        <v>0.57999999999999996</v>
      </c>
      <c r="I45">
        <f t="shared" si="3"/>
        <v>0.99821967348871299</v>
      </c>
    </row>
    <row r="46" spans="4:9" x14ac:dyDescent="0.3">
      <c r="D46">
        <v>318</v>
      </c>
      <c r="E46">
        <v>173.8</v>
      </c>
      <c r="F46">
        <f t="shared" si="0"/>
        <v>307.61061946902657</v>
      </c>
      <c r="G46">
        <f t="shared" si="1"/>
        <v>17.538831758957794</v>
      </c>
      <c r="H46">
        <f t="shared" si="2"/>
        <v>0.59</v>
      </c>
      <c r="I46">
        <f t="shared" si="3"/>
        <v>0.99879451930283569</v>
      </c>
    </row>
    <row r="47" spans="4:9" x14ac:dyDescent="0.3">
      <c r="D47">
        <v>320</v>
      </c>
      <c r="E47">
        <v>174.1</v>
      </c>
      <c r="F47">
        <f t="shared" si="0"/>
        <v>308.14159292035401</v>
      </c>
      <c r="G47">
        <f t="shared" si="1"/>
        <v>17.553962313972136</v>
      </c>
      <c r="H47">
        <f t="shared" si="2"/>
        <v>0.6</v>
      </c>
      <c r="I47">
        <f t="shared" si="3"/>
        <v>0.99965616822164793</v>
      </c>
    </row>
    <row r="48" spans="4:9" x14ac:dyDescent="0.3">
      <c r="D48">
        <v>322</v>
      </c>
      <c r="E48">
        <v>174.3</v>
      </c>
      <c r="F48">
        <f t="shared" si="0"/>
        <v>308.49557522123899</v>
      </c>
      <c r="G48">
        <f t="shared" si="1"/>
        <v>17.564042109413169</v>
      </c>
      <c r="H48">
        <f t="shared" si="2"/>
        <v>0.61</v>
      </c>
      <c r="I48">
        <f t="shared" si="3"/>
        <v>1.0002301884631646</v>
      </c>
    </row>
    <row r="49" spans="4:9" x14ac:dyDescent="0.3">
      <c r="D49">
        <v>324</v>
      </c>
      <c r="E49">
        <v>174.1</v>
      </c>
      <c r="F49">
        <f t="shared" si="0"/>
        <v>308.14159292035401</v>
      </c>
      <c r="G49">
        <f t="shared" si="1"/>
        <v>17.553962313972136</v>
      </c>
      <c r="H49">
        <f t="shared" si="2"/>
        <v>0.62</v>
      </c>
      <c r="I49">
        <f t="shared" si="3"/>
        <v>0.99965616822164793</v>
      </c>
    </row>
    <row r="50" spans="4:9" x14ac:dyDescent="0.3">
      <c r="D50">
        <v>326</v>
      </c>
      <c r="E50">
        <v>173.9</v>
      </c>
      <c r="F50">
        <f t="shared" si="0"/>
        <v>307.78761061946909</v>
      </c>
      <c r="G50">
        <f t="shared" si="1"/>
        <v>17.543876727207959</v>
      </c>
      <c r="H50">
        <f t="shared" si="2"/>
        <v>0.63</v>
      </c>
      <c r="I50">
        <f t="shared" si="3"/>
        <v>0.9990818181781298</v>
      </c>
    </row>
    <row r="51" spans="4:9" x14ac:dyDescent="0.3">
      <c r="D51">
        <v>328</v>
      </c>
      <c r="E51">
        <v>174</v>
      </c>
      <c r="F51">
        <f t="shared" si="0"/>
        <v>307.96460176991155</v>
      </c>
      <c r="G51">
        <f t="shared" si="1"/>
        <v>17.548920245129374</v>
      </c>
      <c r="H51">
        <f t="shared" si="2"/>
        <v>0.64</v>
      </c>
      <c r="I51">
        <f t="shared" si="3"/>
        <v>0.9993690344606706</v>
      </c>
    </row>
    <row r="52" spans="4:9" x14ac:dyDescent="0.3">
      <c r="D52">
        <v>330</v>
      </c>
      <c r="E52">
        <v>174</v>
      </c>
      <c r="F52">
        <f t="shared" si="0"/>
        <v>307.96460176991155</v>
      </c>
      <c r="G52">
        <f t="shared" si="1"/>
        <v>17.548920245129374</v>
      </c>
      <c r="H52">
        <f t="shared" si="2"/>
        <v>0.65</v>
      </c>
      <c r="I52">
        <f t="shared" si="3"/>
        <v>0.9993690344606706</v>
      </c>
    </row>
    <row r="53" spans="4:9" x14ac:dyDescent="0.3">
      <c r="D53">
        <v>332</v>
      </c>
      <c r="E53">
        <v>173.6</v>
      </c>
      <c r="F53">
        <f t="shared" si="0"/>
        <v>307.25663716814159</v>
      </c>
      <c r="G53">
        <f t="shared" si="1"/>
        <v>17.528737466461799</v>
      </c>
      <c r="H53">
        <f t="shared" si="2"/>
        <v>0.66</v>
      </c>
      <c r="I53">
        <f t="shared" si="3"/>
        <v>0.99821967348871299</v>
      </c>
    </row>
    <row r="54" spans="4:9" x14ac:dyDescent="0.3">
      <c r="D54">
        <v>334</v>
      </c>
      <c r="E54">
        <v>173.5</v>
      </c>
      <c r="F54">
        <f t="shared" si="0"/>
        <v>307.07964601769913</v>
      </c>
      <c r="G54">
        <f t="shared" si="1"/>
        <v>17.523688139706753</v>
      </c>
      <c r="H54">
        <f t="shared" si="2"/>
        <v>0.67</v>
      </c>
      <c r="I54">
        <f t="shared" si="3"/>
        <v>0.99793212640699058</v>
      </c>
    </row>
    <row r="55" spans="4:9" x14ac:dyDescent="0.3">
      <c r="D55">
        <v>336</v>
      </c>
      <c r="E55">
        <v>173</v>
      </c>
      <c r="F55">
        <f t="shared" si="0"/>
        <v>306.19469026548677</v>
      </c>
      <c r="G55">
        <f t="shared" si="1"/>
        <v>17.498419650513778</v>
      </c>
      <c r="H55">
        <f t="shared" si="2"/>
        <v>0.68</v>
      </c>
      <c r="I55">
        <f t="shared" si="3"/>
        <v>0.99649314638461162</v>
      </c>
    </row>
    <row r="56" spans="4:9" x14ac:dyDescent="0.3">
      <c r="D56">
        <v>337</v>
      </c>
      <c r="E56">
        <v>172.6</v>
      </c>
      <c r="F56">
        <f t="shared" si="0"/>
        <v>305.48672566371681</v>
      </c>
      <c r="G56">
        <f t="shared" si="1"/>
        <v>17.478178556809539</v>
      </c>
      <c r="H56">
        <f t="shared" si="2"/>
        <v>0.68500000000000005</v>
      </c>
      <c r="I56">
        <f t="shared" si="3"/>
        <v>0.99534046451079383</v>
      </c>
    </row>
    <row r="57" spans="4:9" x14ac:dyDescent="0.3">
      <c r="D57">
        <v>338</v>
      </c>
      <c r="E57">
        <v>171.3</v>
      </c>
      <c r="F57">
        <f t="shared" si="0"/>
        <v>303.18584070796464</v>
      </c>
      <c r="G57">
        <f t="shared" si="1"/>
        <v>17.412232502122311</v>
      </c>
      <c r="H57">
        <f t="shared" si="2"/>
        <v>0.69</v>
      </c>
      <c r="I57">
        <f t="shared" si="3"/>
        <v>0.99158499442609982</v>
      </c>
    </row>
    <row r="58" spans="4:9" x14ac:dyDescent="0.3">
      <c r="D58">
        <v>339</v>
      </c>
      <c r="E58">
        <v>170.5</v>
      </c>
      <c r="F58">
        <f t="shared" si="0"/>
        <v>301.76991150442478</v>
      </c>
      <c r="G58">
        <f t="shared" si="1"/>
        <v>17.371525883019739</v>
      </c>
      <c r="H58">
        <f t="shared" si="2"/>
        <v>0.69499999999999995</v>
      </c>
      <c r="I58">
        <f t="shared" si="3"/>
        <v>0.98926684983028135</v>
      </c>
    </row>
    <row r="59" spans="4:9" x14ac:dyDescent="0.3">
      <c r="D59">
        <v>340</v>
      </c>
      <c r="E59">
        <v>169.7</v>
      </c>
      <c r="F59">
        <f t="shared" si="0"/>
        <v>300.35398230088498</v>
      </c>
      <c r="G59">
        <f t="shared" si="1"/>
        <v>17.330723651968057</v>
      </c>
      <c r="H59">
        <f t="shared" si="2"/>
        <v>0.7</v>
      </c>
      <c r="I59">
        <f t="shared" si="3"/>
        <v>0.98694326036264568</v>
      </c>
    </row>
    <row r="60" spans="4:9" x14ac:dyDescent="0.3">
      <c r="D60">
        <v>341</v>
      </c>
      <c r="E60">
        <v>167.5</v>
      </c>
      <c r="F60">
        <f t="shared" si="0"/>
        <v>296.46017699115049</v>
      </c>
      <c r="G60">
        <f t="shared" si="1"/>
        <v>17.218018962446013</v>
      </c>
      <c r="H60">
        <f t="shared" si="2"/>
        <v>0.70499999999999996</v>
      </c>
      <c r="I60">
        <f t="shared" si="3"/>
        <v>0.98052499786139036</v>
      </c>
    </row>
    <row r="61" spans="4:9" x14ac:dyDescent="0.3">
      <c r="D61">
        <v>342</v>
      </c>
      <c r="E61">
        <v>166</v>
      </c>
      <c r="F61">
        <f t="shared" si="0"/>
        <v>293.80530973451329</v>
      </c>
      <c r="G61">
        <f t="shared" si="1"/>
        <v>17.14074997584742</v>
      </c>
      <c r="H61">
        <f t="shared" si="2"/>
        <v>0.71</v>
      </c>
      <c r="I61">
        <f t="shared" si="3"/>
        <v>0.97612471388652744</v>
      </c>
    </row>
    <row r="62" spans="4:9" x14ac:dyDescent="0.3">
      <c r="D62">
        <v>343</v>
      </c>
      <c r="E62">
        <v>164</v>
      </c>
      <c r="F62">
        <f t="shared" si="0"/>
        <v>290.26548672566372</v>
      </c>
      <c r="G62">
        <f t="shared" si="1"/>
        <v>17.037179541393105</v>
      </c>
      <c r="H62">
        <f t="shared" si="2"/>
        <v>0.71499999999999997</v>
      </c>
      <c r="I62">
        <f t="shared" si="3"/>
        <v>0.97022662536407211</v>
      </c>
    </row>
    <row r="63" spans="4:9" x14ac:dyDescent="0.3">
      <c r="D63">
        <v>344</v>
      </c>
      <c r="E63">
        <v>162</v>
      </c>
      <c r="F63">
        <f t="shared" si="0"/>
        <v>286.72566371681421</v>
      </c>
      <c r="G63">
        <f t="shared" si="1"/>
        <v>16.932975630904753</v>
      </c>
      <c r="H63">
        <f t="shared" si="2"/>
        <v>0.72</v>
      </c>
      <c r="I63">
        <f t="shared" si="3"/>
        <v>0.9642924618966261</v>
      </c>
    </row>
    <row r="64" spans="4:9" x14ac:dyDescent="0.3">
      <c r="D64">
        <v>345</v>
      </c>
      <c r="E64">
        <v>160</v>
      </c>
      <c r="F64">
        <f t="shared" si="0"/>
        <v>283.18584070796464</v>
      </c>
      <c r="G64">
        <f t="shared" si="1"/>
        <v>16.828126476466853</v>
      </c>
      <c r="H64">
        <f t="shared" si="2"/>
        <v>0.72499999999999998</v>
      </c>
      <c r="I64">
        <f t="shared" si="3"/>
        <v>0.95832155332954749</v>
      </c>
    </row>
    <row r="65" spans="4:9" x14ac:dyDescent="0.3">
      <c r="D65">
        <v>346</v>
      </c>
      <c r="E65">
        <v>158.1</v>
      </c>
      <c r="F65">
        <f t="shared" si="0"/>
        <v>279.82300884955754</v>
      </c>
      <c r="G65">
        <f t="shared" si="1"/>
        <v>16.727911072502675</v>
      </c>
      <c r="H65">
        <f t="shared" si="2"/>
        <v>0.73</v>
      </c>
      <c r="I65">
        <f t="shared" si="3"/>
        <v>0.95261452576894512</v>
      </c>
    </row>
    <row r="66" spans="4:9" x14ac:dyDescent="0.3">
      <c r="D66">
        <v>347</v>
      </c>
      <c r="E66">
        <v>156.30000000000001</v>
      </c>
      <c r="F66">
        <f t="shared" si="0"/>
        <v>276.63716814159295</v>
      </c>
      <c r="G66">
        <f t="shared" si="1"/>
        <v>16.63241317853765</v>
      </c>
      <c r="H66">
        <f t="shared" si="2"/>
        <v>0.73499999999999999</v>
      </c>
      <c r="I66">
        <f t="shared" si="3"/>
        <v>0.94717614911945625</v>
      </c>
    </row>
    <row r="67" spans="4:9" x14ac:dyDescent="0.3">
      <c r="D67">
        <v>348</v>
      </c>
      <c r="E67">
        <v>154.5</v>
      </c>
      <c r="F67">
        <f t="shared" ref="F67:F99" si="4">(2*E67)/1.13</f>
        <v>273.45132743362836</v>
      </c>
      <c r="G67">
        <f t="shared" ref="G67:G99" si="5">SQRT(F67)</f>
        <v>16.536363791161236</v>
      </c>
      <c r="H67">
        <f t="shared" ref="H67:H99" si="6">(D67-200)/200</f>
        <v>0.74</v>
      </c>
      <c r="I67">
        <f t="shared" ref="I67:I99" si="7">G67/17.56</f>
        <v>0.94170636623925041</v>
      </c>
    </row>
    <row r="68" spans="4:9" x14ac:dyDescent="0.3">
      <c r="D68">
        <v>349</v>
      </c>
      <c r="E68">
        <v>153.5</v>
      </c>
      <c r="F68">
        <f t="shared" si="4"/>
        <v>271.68141592920358</v>
      </c>
      <c r="G68">
        <f t="shared" si="5"/>
        <v>16.482761174305825</v>
      </c>
      <c r="H68">
        <f t="shared" si="6"/>
        <v>0.745</v>
      </c>
      <c r="I68">
        <f t="shared" si="7"/>
        <v>0.93865382541604936</v>
      </c>
    </row>
    <row r="69" spans="4:9" x14ac:dyDescent="0.3">
      <c r="D69">
        <v>350</v>
      </c>
      <c r="E69">
        <v>153</v>
      </c>
      <c r="F69">
        <f t="shared" si="4"/>
        <v>270.79646017699116</v>
      </c>
      <c r="G69">
        <f t="shared" si="5"/>
        <v>16.455894390065559</v>
      </c>
      <c r="H69">
        <f t="shared" si="6"/>
        <v>0.75</v>
      </c>
      <c r="I69">
        <f t="shared" si="7"/>
        <v>0.93712382631352853</v>
      </c>
    </row>
    <row r="70" spans="4:9" x14ac:dyDescent="0.3">
      <c r="D70">
        <v>351</v>
      </c>
      <c r="E70">
        <v>152.80000000000001</v>
      </c>
      <c r="F70">
        <f t="shared" si="4"/>
        <v>270.44247787610624</v>
      </c>
      <c r="G70">
        <f t="shared" si="5"/>
        <v>16.445135386372051</v>
      </c>
      <c r="H70">
        <f t="shared" si="6"/>
        <v>0.755</v>
      </c>
      <c r="I70">
        <f t="shared" si="7"/>
        <v>0.93651112678656334</v>
      </c>
    </row>
    <row r="71" spans="4:9" x14ac:dyDescent="0.3">
      <c r="D71">
        <v>352</v>
      </c>
      <c r="E71">
        <v>153.69999999999999</v>
      </c>
      <c r="F71">
        <f t="shared" si="4"/>
        <v>272.0353982300885</v>
      </c>
      <c r="G71">
        <f t="shared" si="5"/>
        <v>16.493495634039757</v>
      </c>
      <c r="H71">
        <f t="shared" si="6"/>
        <v>0.76</v>
      </c>
      <c r="I71">
        <f t="shared" si="7"/>
        <v>0.93926512722322086</v>
      </c>
    </row>
    <row r="72" spans="4:9" x14ac:dyDescent="0.3">
      <c r="D72">
        <v>353</v>
      </c>
      <c r="E72">
        <v>155.5</v>
      </c>
      <c r="F72">
        <f t="shared" si="4"/>
        <v>275.22123893805315</v>
      </c>
      <c r="G72">
        <f t="shared" si="5"/>
        <v>16.589793215650793</v>
      </c>
      <c r="H72">
        <f t="shared" si="6"/>
        <v>0.76500000000000001</v>
      </c>
      <c r="I72">
        <f t="shared" si="7"/>
        <v>0.94474904417145755</v>
      </c>
    </row>
    <row r="73" spans="4:9" x14ac:dyDescent="0.3">
      <c r="D73">
        <v>354</v>
      </c>
      <c r="E73">
        <v>157.69999999999999</v>
      </c>
      <c r="F73">
        <f t="shared" si="4"/>
        <v>279.11504424778764</v>
      </c>
      <c r="G73">
        <f t="shared" si="5"/>
        <v>16.7067364930374</v>
      </c>
      <c r="H73">
        <f t="shared" si="6"/>
        <v>0.77</v>
      </c>
      <c r="I73">
        <f t="shared" si="7"/>
        <v>0.95140868411374724</v>
      </c>
    </row>
    <row r="74" spans="4:9" x14ac:dyDescent="0.3">
      <c r="D74">
        <v>355</v>
      </c>
      <c r="E74">
        <v>159.69999999999999</v>
      </c>
      <c r="F74">
        <f t="shared" si="4"/>
        <v>282.65486725663715</v>
      </c>
      <c r="G74">
        <f t="shared" si="5"/>
        <v>16.812342705781283</v>
      </c>
      <c r="H74">
        <f t="shared" si="6"/>
        <v>0.77500000000000002</v>
      </c>
      <c r="I74">
        <f t="shared" si="7"/>
        <v>0.9574227053406198</v>
      </c>
    </row>
    <row r="75" spans="4:9" x14ac:dyDescent="0.3">
      <c r="D75">
        <v>356</v>
      </c>
      <c r="E75">
        <v>162.4</v>
      </c>
      <c r="F75">
        <f t="shared" si="4"/>
        <v>287.43362831858411</v>
      </c>
      <c r="G75">
        <f t="shared" si="5"/>
        <v>16.95386765073339</v>
      </c>
      <c r="H75">
        <f t="shared" si="6"/>
        <v>0.78</v>
      </c>
      <c r="I75">
        <f t="shared" si="7"/>
        <v>0.96548221245634347</v>
      </c>
    </row>
    <row r="76" spans="4:9" x14ac:dyDescent="0.3">
      <c r="D76">
        <v>357</v>
      </c>
      <c r="E76">
        <v>164.6</v>
      </c>
      <c r="F76">
        <f t="shared" si="4"/>
        <v>291.3274336283186</v>
      </c>
      <c r="G76">
        <f t="shared" si="5"/>
        <v>17.068316660652819</v>
      </c>
      <c r="H76">
        <f t="shared" si="6"/>
        <v>0.78500000000000003</v>
      </c>
      <c r="I76">
        <f t="shared" si="7"/>
        <v>0.97199980983216516</v>
      </c>
    </row>
    <row r="77" spans="4:9" x14ac:dyDescent="0.3">
      <c r="D77">
        <v>358</v>
      </c>
      <c r="E77">
        <v>166.5</v>
      </c>
      <c r="F77">
        <f t="shared" si="4"/>
        <v>294.69026548672571</v>
      </c>
      <c r="G77">
        <f t="shared" si="5"/>
        <v>17.166544949020047</v>
      </c>
      <c r="H77">
        <f t="shared" si="6"/>
        <v>0.79</v>
      </c>
      <c r="I77">
        <f t="shared" si="7"/>
        <v>0.97759367591230339</v>
      </c>
    </row>
    <row r="78" spans="4:9" x14ac:dyDescent="0.3">
      <c r="D78">
        <v>359</v>
      </c>
      <c r="E78">
        <v>169.5</v>
      </c>
      <c r="F78">
        <f t="shared" si="4"/>
        <v>300</v>
      </c>
      <c r="G78">
        <f t="shared" si="5"/>
        <v>17.320508075688775</v>
      </c>
      <c r="H78">
        <f t="shared" si="6"/>
        <v>0.79500000000000004</v>
      </c>
      <c r="I78">
        <f t="shared" si="7"/>
        <v>0.98636150772715125</v>
      </c>
    </row>
    <row r="79" spans="4:9" x14ac:dyDescent="0.3">
      <c r="D79">
        <v>360</v>
      </c>
      <c r="E79">
        <v>169.7</v>
      </c>
      <c r="F79">
        <f t="shared" si="4"/>
        <v>300.35398230088498</v>
      </c>
      <c r="G79">
        <f t="shared" si="5"/>
        <v>17.330723651968057</v>
      </c>
      <c r="H79">
        <f t="shared" si="6"/>
        <v>0.8</v>
      </c>
      <c r="I79">
        <f t="shared" si="7"/>
        <v>0.98694326036264568</v>
      </c>
    </row>
    <row r="80" spans="4:9" x14ac:dyDescent="0.3">
      <c r="D80">
        <v>361</v>
      </c>
      <c r="E80">
        <v>171.4</v>
      </c>
      <c r="F80">
        <f t="shared" si="4"/>
        <v>303.36283185840711</v>
      </c>
      <c r="G80">
        <f t="shared" si="5"/>
        <v>17.417314140199892</v>
      </c>
      <c r="H80">
        <f t="shared" si="6"/>
        <v>0.80500000000000005</v>
      </c>
      <c r="I80">
        <f t="shared" si="7"/>
        <v>0.99187438156035834</v>
      </c>
    </row>
    <row r="81" spans="4:9" x14ac:dyDescent="0.3">
      <c r="D81">
        <v>362</v>
      </c>
      <c r="E81">
        <v>172</v>
      </c>
      <c r="F81">
        <f t="shared" si="4"/>
        <v>304.42477876106199</v>
      </c>
      <c r="G81">
        <f t="shared" si="5"/>
        <v>17.447772888281815</v>
      </c>
      <c r="H81">
        <f t="shared" si="6"/>
        <v>0.81</v>
      </c>
      <c r="I81">
        <f t="shared" si="7"/>
        <v>0.99360893441240405</v>
      </c>
    </row>
    <row r="82" spans="4:9" x14ac:dyDescent="0.3">
      <c r="D82">
        <v>363</v>
      </c>
      <c r="E82">
        <v>172.4</v>
      </c>
      <c r="F82">
        <f t="shared" si="4"/>
        <v>305.13274336283189</v>
      </c>
      <c r="G82">
        <f t="shared" si="5"/>
        <v>17.468049214575505</v>
      </c>
      <c r="H82">
        <f t="shared" si="6"/>
        <v>0.81499999999999995</v>
      </c>
      <c r="I82">
        <f t="shared" si="7"/>
        <v>0.99476362269792173</v>
      </c>
    </row>
    <row r="83" spans="4:9" x14ac:dyDescent="0.3">
      <c r="D83">
        <v>364</v>
      </c>
      <c r="E83">
        <v>172.6</v>
      </c>
      <c r="F83">
        <f t="shared" si="4"/>
        <v>305.48672566371681</v>
      </c>
      <c r="G83">
        <f t="shared" si="5"/>
        <v>17.478178556809539</v>
      </c>
      <c r="H83">
        <f t="shared" si="6"/>
        <v>0.82</v>
      </c>
      <c r="I83">
        <f t="shared" si="7"/>
        <v>0.99534046451079383</v>
      </c>
    </row>
    <row r="84" spans="4:9" x14ac:dyDescent="0.3">
      <c r="D84">
        <v>365</v>
      </c>
      <c r="E84">
        <v>173.1</v>
      </c>
      <c r="F84">
        <f t="shared" si="4"/>
        <v>306.37168141592923</v>
      </c>
      <c r="G84">
        <f t="shared" si="5"/>
        <v>17.503476266614275</v>
      </c>
      <c r="H84">
        <f t="shared" si="6"/>
        <v>0.82499999999999996</v>
      </c>
      <c r="I84">
        <f t="shared" si="7"/>
        <v>0.99678110857712277</v>
      </c>
    </row>
    <row r="85" spans="4:9" x14ac:dyDescent="0.3">
      <c r="D85">
        <v>366</v>
      </c>
      <c r="E85">
        <v>173.6</v>
      </c>
      <c r="F85">
        <f t="shared" si="4"/>
        <v>307.25663716814159</v>
      </c>
      <c r="G85">
        <f t="shared" si="5"/>
        <v>17.528737466461799</v>
      </c>
      <c r="H85">
        <f t="shared" si="6"/>
        <v>0.83</v>
      </c>
      <c r="I85">
        <f t="shared" si="7"/>
        <v>0.99821967348871299</v>
      </c>
    </row>
    <row r="86" spans="4:9" x14ac:dyDescent="0.3">
      <c r="D86">
        <v>367</v>
      </c>
      <c r="E86">
        <v>173</v>
      </c>
      <c r="F86">
        <f t="shared" si="4"/>
        <v>306.19469026548677</v>
      </c>
      <c r="G86">
        <f t="shared" si="5"/>
        <v>17.498419650513778</v>
      </c>
      <c r="H86">
        <f t="shared" si="6"/>
        <v>0.83499999999999996</v>
      </c>
      <c r="I86">
        <f t="shared" si="7"/>
        <v>0.99649314638461162</v>
      </c>
    </row>
    <row r="87" spans="4:9" x14ac:dyDescent="0.3">
      <c r="D87">
        <v>368</v>
      </c>
      <c r="E87">
        <v>173.3</v>
      </c>
      <c r="F87">
        <f t="shared" si="4"/>
        <v>306.72566371681421</v>
      </c>
      <c r="G87">
        <f t="shared" si="5"/>
        <v>17.513585118895964</v>
      </c>
      <c r="H87">
        <f t="shared" si="6"/>
        <v>0.84</v>
      </c>
      <c r="I87">
        <f t="shared" si="7"/>
        <v>0.99735678353621671</v>
      </c>
    </row>
    <row r="88" spans="4:9" x14ac:dyDescent="0.3">
      <c r="D88">
        <v>369</v>
      </c>
      <c r="E88">
        <v>173</v>
      </c>
      <c r="F88">
        <f t="shared" si="4"/>
        <v>306.19469026548677</v>
      </c>
      <c r="G88">
        <f t="shared" si="5"/>
        <v>17.498419650513778</v>
      </c>
      <c r="H88">
        <f t="shared" si="6"/>
        <v>0.84499999999999997</v>
      </c>
      <c r="I88">
        <f t="shared" si="7"/>
        <v>0.99649314638461162</v>
      </c>
    </row>
    <row r="89" spans="4:9" x14ac:dyDescent="0.3">
      <c r="D89">
        <v>370</v>
      </c>
      <c r="E89">
        <v>172.8</v>
      </c>
      <c r="F89">
        <f t="shared" si="4"/>
        <v>305.84070796460179</v>
      </c>
      <c r="G89">
        <f t="shared" si="5"/>
        <v>17.48830203206137</v>
      </c>
      <c r="H89">
        <f t="shared" si="6"/>
        <v>0.85</v>
      </c>
      <c r="I89">
        <f t="shared" si="7"/>
        <v>0.99591697221306208</v>
      </c>
    </row>
    <row r="90" spans="4:9" x14ac:dyDescent="0.3">
      <c r="D90">
        <v>375</v>
      </c>
      <c r="E90">
        <v>172.4</v>
      </c>
      <c r="F90">
        <f t="shared" si="4"/>
        <v>305.13274336283189</v>
      </c>
      <c r="G90">
        <f t="shared" si="5"/>
        <v>17.468049214575505</v>
      </c>
      <c r="H90">
        <f t="shared" si="6"/>
        <v>0.875</v>
      </c>
      <c r="I90">
        <f t="shared" si="7"/>
        <v>0.99476362269792173</v>
      </c>
    </row>
    <row r="91" spans="4:9" x14ac:dyDescent="0.3">
      <c r="D91">
        <v>380</v>
      </c>
      <c r="E91">
        <v>172.6</v>
      </c>
      <c r="F91">
        <f t="shared" si="4"/>
        <v>305.48672566371681</v>
      </c>
      <c r="G91">
        <f t="shared" si="5"/>
        <v>17.478178556809539</v>
      </c>
      <c r="H91">
        <f t="shared" si="6"/>
        <v>0.9</v>
      </c>
      <c r="I91">
        <f t="shared" si="7"/>
        <v>0.99534046451079383</v>
      </c>
    </row>
    <row r="92" spans="4:9" x14ac:dyDescent="0.3">
      <c r="D92">
        <v>385</v>
      </c>
      <c r="E92">
        <v>172.6</v>
      </c>
      <c r="F92">
        <f t="shared" si="4"/>
        <v>305.48672566371681</v>
      </c>
      <c r="G92">
        <f t="shared" si="5"/>
        <v>17.478178556809539</v>
      </c>
      <c r="H92">
        <f t="shared" si="6"/>
        <v>0.92500000000000004</v>
      </c>
      <c r="I92">
        <f t="shared" si="7"/>
        <v>0.99534046451079383</v>
      </c>
    </row>
    <row r="93" spans="4:9" x14ac:dyDescent="0.3">
      <c r="D93">
        <v>390</v>
      </c>
      <c r="E93">
        <v>172.6</v>
      </c>
      <c r="F93">
        <f t="shared" si="4"/>
        <v>305.48672566371681</v>
      </c>
      <c r="G93">
        <f t="shared" si="5"/>
        <v>17.478178556809539</v>
      </c>
      <c r="H93">
        <f t="shared" si="6"/>
        <v>0.95</v>
      </c>
      <c r="I93">
        <f t="shared" si="7"/>
        <v>0.99534046451079383</v>
      </c>
    </row>
    <row r="94" spans="4:9" x14ac:dyDescent="0.3">
      <c r="D94">
        <v>395</v>
      </c>
      <c r="E94">
        <v>172</v>
      </c>
      <c r="F94">
        <f t="shared" si="4"/>
        <v>304.42477876106199</v>
      </c>
      <c r="G94">
        <f t="shared" si="5"/>
        <v>17.447772888281815</v>
      </c>
      <c r="H94">
        <f t="shared" si="6"/>
        <v>0.97499999999999998</v>
      </c>
      <c r="I94">
        <f t="shared" si="7"/>
        <v>0.99360893441240405</v>
      </c>
    </row>
    <row r="95" spans="4:9" x14ac:dyDescent="0.3">
      <c r="D95">
        <v>400</v>
      </c>
      <c r="E95">
        <v>172.7</v>
      </c>
      <c r="F95">
        <f t="shared" si="4"/>
        <v>305.66371681415927</v>
      </c>
      <c r="G95">
        <f t="shared" si="5"/>
        <v>17.483241027171115</v>
      </c>
      <c r="H95">
        <f t="shared" si="6"/>
        <v>1</v>
      </c>
      <c r="I95">
        <f t="shared" si="7"/>
        <v>0.99562876008947132</v>
      </c>
    </row>
    <row r="96" spans="4:9" x14ac:dyDescent="0.3">
      <c r="D96">
        <v>405</v>
      </c>
      <c r="E96">
        <v>172.5</v>
      </c>
      <c r="F96">
        <f t="shared" si="4"/>
        <v>305.30973451327435</v>
      </c>
      <c r="G96">
        <f t="shared" si="5"/>
        <v>17.473114619702876</v>
      </c>
      <c r="H96">
        <f t="shared" si="6"/>
        <v>1.0249999999999999</v>
      </c>
      <c r="I96">
        <f t="shared" si="7"/>
        <v>0.99505208540449186</v>
      </c>
    </row>
    <row r="97" spans="4:9" x14ac:dyDescent="0.3">
      <c r="D97">
        <v>410</v>
      </c>
      <c r="E97">
        <v>172.4</v>
      </c>
      <c r="F97">
        <f t="shared" si="4"/>
        <v>305.13274336283189</v>
      </c>
      <c r="G97">
        <f t="shared" si="5"/>
        <v>17.468049214575505</v>
      </c>
      <c r="H97">
        <f t="shared" si="6"/>
        <v>1.05</v>
      </c>
      <c r="I97">
        <f t="shared" si="7"/>
        <v>0.99476362269792173</v>
      </c>
    </row>
    <row r="98" spans="4:9" x14ac:dyDescent="0.3">
      <c r="D98">
        <v>415</v>
      </c>
      <c r="E98">
        <v>172.6</v>
      </c>
      <c r="F98">
        <f t="shared" si="4"/>
        <v>305.48672566371681</v>
      </c>
      <c r="G98">
        <f t="shared" si="5"/>
        <v>17.478178556809539</v>
      </c>
      <c r="H98">
        <f t="shared" si="6"/>
        <v>1.075</v>
      </c>
      <c r="I98">
        <f t="shared" si="7"/>
        <v>0.99534046451079383</v>
      </c>
    </row>
    <row r="99" spans="4:9" x14ac:dyDescent="0.3">
      <c r="D99">
        <v>420</v>
      </c>
      <c r="E99">
        <v>172.9</v>
      </c>
      <c r="F99">
        <f t="shared" si="4"/>
        <v>306.01769911504431</v>
      </c>
      <c r="G99">
        <f t="shared" si="5"/>
        <v>17.493361572752228</v>
      </c>
      <c r="H99">
        <f t="shared" si="6"/>
        <v>1.1000000000000001</v>
      </c>
      <c r="I99">
        <f t="shared" si="7"/>
        <v>0.99620510095399939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98C5-26EA-4006-A36D-3C9DD7CC36DA}">
  <dimension ref="A1:E78"/>
  <sheetViews>
    <sheetView topLeftCell="A4" workbookViewId="0">
      <selection activeCell="R7" sqref="R7"/>
    </sheetView>
  </sheetViews>
  <sheetFormatPr defaultRowHeight="14.4" x14ac:dyDescent="0.3"/>
  <cols>
    <col min="2" max="2" width="15.21875" bestFit="1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10</v>
      </c>
      <c r="E1" t="s">
        <v>11</v>
      </c>
    </row>
    <row r="2" spans="1:5" x14ac:dyDescent="0.3">
      <c r="A2">
        <v>450</v>
      </c>
      <c r="B2">
        <v>169.2</v>
      </c>
      <c r="C2">
        <f>(A2-450)/450</f>
        <v>0</v>
      </c>
      <c r="D2">
        <f>SQRT((2*B2)/1.19)</f>
        <v>16.863266228674672</v>
      </c>
      <c r="E2">
        <f>D2/17</f>
        <v>0.99195683698086301</v>
      </c>
    </row>
    <row r="3" spans="1:5" x14ac:dyDescent="0.3">
      <c r="A3">
        <v>445</v>
      </c>
      <c r="B3">
        <v>169.6</v>
      </c>
      <c r="C3">
        <f t="shared" ref="C3:C66" si="0">(A3-450)/450</f>
        <v>-1.1111111111111112E-2</v>
      </c>
      <c r="D3">
        <f t="shared" ref="D3:D66" si="1">SQRT((2*B3)/1.19)</f>
        <v>16.883187400687191</v>
      </c>
      <c r="E3">
        <f t="shared" ref="E3:E66" si="2">D3/17</f>
        <v>0.99312867062865828</v>
      </c>
    </row>
    <row r="4" spans="1:5" x14ac:dyDescent="0.3">
      <c r="A4">
        <v>440</v>
      </c>
      <c r="B4">
        <v>170.1</v>
      </c>
      <c r="C4">
        <f t="shared" si="0"/>
        <v>-2.2222222222222223E-2</v>
      </c>
      <c r="D4">
        <f t="shared" si="1"/>
        <v>16.908055859299036</v>
      </c>
      <c r="E4">
        <f t="shared" si="2"/>
        <v>0.99459152113523741</v>
      </c>
    </row>
    <row r="5" spans="1:5" x14ac:dyDescent="0.3">
      <c r="A5">
        <v>435</v>
      </c>
      <c r="B5">
        <v>170.1</v>
      </c>
      <c r="C5">
        <f t="shared" si="0"/>
        <v>-3.3333333333333333E-2</v>
      </c>
      <c r="D5">
        <f t="shared" si="1"/>
        <v>16.908055859299036</v>
      </c>
      <c r="E5">
        <f t="shared" si="2"/>
        <v>0.99459152113523741</v>
      </c>
    </row>
    <row r="6" spans="1:5" x14ac:dyDescent="0.3">
      <c r="A6">
        <v>430</v>
      </c>
      <c r="B6">
        <v>169.8</v>
      </c>
      <c r="C6">
        <f t="shared" si="0"/>
        <v>-4.4444444444444446E-2</v>
      </c>
      <c r="D6">
        <f t="shared" si="1"/>
        <v>16.893139177207541</v>
      </c>
      <c r="E6">
        <f t="shared" si="2"/>
        <v>0.99371406924750239</v>
      </c>
    </row>
    <row r="7" spans="1:5" x14ac:dyDescent="0.3">
      <c r="A7">
        <v>425</v>
      </c>
      <c r="B7">
        <v>170.1</v>
      </c>
      <c r="C7">
        <f t="shared" si="0"/>
        <v>-5.5555555555555552E-2</v>
      </c>
      <c r="D7">
        <f t="shared" si="1"/>
        <v>16.908055859299036</v>
      </c>
      <c r="E7">
        <f t="shared" si="2"/>
        <v>0.99459152113523741</v>
      </c>
    </row>
    <row r="8" spans="1:5" x14ac:dyDescent="0.3">
      <c r="A8">
        <v>420</v>
      </c>
      <c r="B8">
        <v>170</v>
      </c>
      <c r="C8">
        <f t="shared" si="0"/>
        <v>-6.6666666666666666E-2</v>
      </c>
      <c r="D8">
        <f t="shared" si="1"/>
        <v>16.903085094570333</v>
      </c>
      <c r="E8">
        <f t="shared" si="2"/>
        <v>0.99429912321001956</v>
      </c>
    </row>
    <row r="9" spans="1:5" x14ac:dyDescent="0.3">
      <c r="A9">
        <v>415</v>
      </c>
      <c r="B9">
        <v>170.2</v>
      </c>
      <c r="C9">
        <f t="shared" si="0"/>
        <v>-7.7777777777777779E-2</v>
      </c>
      <c r="D9">
        <f t="shared" si="1"/>
        <v>16.913025163112223</v>
      </c>
      <c r="E9">
        <f t="shared" si="2"/>
        <v>0.99488383312424844</v>
      </c>
    </row>
    <row r="10" spans="1:5" x14ac:dyDescent="0.3">
      <c r="A10">
        <v>410</v>
      </c>
      <c r="B10">
        <v>170.3</v>
      </c>
      <c r="C10">
        <f t="shared" si="0"/>
        <v>-8.8888888888888892E-2</v>
      </c>
      <c r="D10">
        <f t="shared" si="1"/>
        <v>16.91799300729723</v>
      </c>
      <c r="E10">
        <f t="shared" si="2"/>
        <v>0.9951760592527783</v>
      </c>
    </row>
    <row r="11" spans="1:5" x14ac:dyDescent="0.3">
      <c r="A11">
        <v>405</v>
      </c>
      <c r="B11">
        <v>169.6</v>
      </c>
      <c r="C11">
        <f t="shared" si="0"/>
        <v>-0.1</v>
      </c>
      <c r="D11">
        <f t="shared" si="1"/>
        <v>16.883187400687191</v>
      </c>
      <c r="E11">
        <f t="shared" si="2"/>
        <v>0.99312867062865828</v>
      </c>
    </row>
    <row r="12" spans="1:5" x14ac:dyDescent="0.3">
      <c r="A12">
        <v>403</v>
      </c>
      <c r="B12">
        <v>169.8</v>
      </c>
      <c r="C12">
        <f t="shared" si="0"/>
        <v>-0.10444444444444445</v>
      </c>
      <c r="D12">
        <f t="shared" si="1"/>
        <v>16.893139177207541</v>
      </c>
      <c r="E12">
        <f t="shared" si="2"/>
        <v>0.99371406924750239</v>
      </c>
    </row>
    <row r="13" spans="1:5" x14ac:dyDescent="0.3">
      <c r="A13">
        <v>401</v>
      </c>
      <c r="B13">
        <v>169.6</v>
      </c>
      <c r="C13">
        <f t="shared" si="0"/>
        <v>-0.10888888888888888</v>
      </c>
      <c r="D13">
        <f t="shared" si="1"/>
        <v>16.883187400687191</v>
      </c>
      <c r="E13">
        <f t="shared" si="2"/>
        <v>0.99312867062865828</v>
      </c>
    </row>
    <row r="14" spans="1:5" x14ac:dyDescent="0.3">
      <c r="A14">
        <v>399</v>
      </c>
      <c r="B14">
        <v>170</v>
      </c>
      <c r="C14">
        <f t="shared" si="0"/>
        <v>-0.11333333333333333</v>
      </c>
      <c r="D14">
        <f t="shared" si="1"/>
        <v>16.903085094570333</v>
      </c>
      <c r="E14">
        <f t="shared" si="2"/>
        <v>0.99429912321001956</v>
      </c>
    </row>
    <row r="15" spans="1:5" x14ac:dyDescent="0.3">
      <c r="A15">
        <v>397</v>
      </c>
      <c r="B15">
        <v>169.8</v>
      </c>
      <c r="C15">
        <f t="shared" si="0"/>
        <v>-0.11777777777777777</v>
      </c>
      <c r="D15">
        <f t="shared" si="1"/>
        <v>16.893139177207541</v>
      </c>
      <c r="E15">
        <f t="shared" si="2"/>
        <v>0.99371406924750239</v>
      </c>
    </row>
    <row r="16" spans="1:5" x14ac:dyDescent="0.3">
      <c r="A16">
        <v>395</v>
      </c>
      <c r="B16">
        <v>169.8</v>
      </c>
      <c r="C16">
        <f t="shared" si="0"/>
        <v>-0.12222222222222222</v>
      </c>
      <c r="D16">
        <f t="shared" si="1"/>
        <v>16.893139177207541</v>
      </c>
      <c r="E16">
        <f t="shared" si="2"/>
        <v>0.99371406924750239</v>
      </c>
    </row>
    <row r="17" spans="1:5" x14ac:dyDescent="0.3">
      <c r="A17">
        <v>393</v>
      </c>
      <c r="B17">
        <v>170</v>
      </c>
      <c r="C17">
        <f t="shared" si="0"/>
        <v>-0.12666666666666668</v>
      </c>
      <c r="D17">
        <f t="shared" si="1"/>
        <v>16.903085094570333</v>
      </c>
      <c r="E17">
        <f t="shared" si="2"/>
        <v>0.99429912321001956</v>
      </c>
    </row>
    <row r="18" spans="1:5" x14ac:dyDescent="0.3">
      <c r="A18">
        <v>391</v>
      </c>
      <c r="B18">
        <v>169.6</v>
      </c>
      <c r="C18">
        <f t="shared" si="0"/>
        <v>-0.13111111111111112</v>
      </c>
      <c r="D18">
        <f t="shared" si="1"/>
        <v>16.883187400687191</v>
      </c>
      <c r="E18">
        <f t="shared" si="2"/>
        <v>0.99312867062865828</v>
      </c>
    </row>
    <row r="19" spans="1:5" x14ac:dyDescent="0.3">
      <c r="A19">
        <v>389</v>
      </c>
      <c r="B19">
        <v>169.8</v>
      </c>
      <c r="C19">
        <f t="shared" si="0"/>
        <v>-0.13555555555555557</v>
      </c>
      <c r="D19">
        <f t="shared" si="1"/>
        <v>16.893139177207541</v>
      </c>
      <c r="E19">
        <f t="shared" si="2"/>
        <v>0.99371406924750239</v>
      </c>
    </row>
    <row r="20" spans="1:5" x14ac:dyDescent="0.3">
      <c r="A20">
        <v>387</v>
      </c>
      <c r="B20">
        <v>169.4</v>
      </c>
      <c r="C20">
        <f t="shared" si="0"/>
        <v>-0.14000000000000001</v>
      </c>
      <c r="D20">
        <f t="shared" si="1"/>
        <v>16.87322975464215</v>
      </c>
      <c r="E20">
        <f t="shared" si="2"/>
        <v>0.99254292674365585</v>
      </c>
    </row>
    <row r="21" spans="1:5" x14ac:dyDescent="0.3">
      <c r="A21">
        <v>385</v>
      </c>
      <c r="B21">
        <v>169.7</v>
      </c>
      <c r="C21">
        <f t="shared" si="0"/>
        <v>-0.14444444444444443</v>
      </c>
      <c r="D21">
        <f t="shared" si="1"/>
        <v>16.88816402198929</v>
      </c>
      <c r="E21">
        <f t="shared" si="2"/>
        <v>0.99342141305819354</v>
      </c>
    </row>
    <row r="22" spans="1:5" x14ac:dyDescent="0.3">
      <c r="A22">
        <v>383</v>
      </c>
      <c r="B22">
        <v>169.3</v>
      </c>
      <c r="C22">
        <f t="shared" si="0"/>
        <v>-0.14888888888888888</v>
      </c>
      <c r="D22">
        <f t="shared" si="1"/>
        <v>16.868248727299775</v>
      </c>
      <c r="E22">
        <f t="shared" si="2"/>
        <v>0.99224992513528087</v>
      </c>
    </row>
    <row r="23" spans="1:5" x14ac:dyDescent="0.3">
      <c r="A23">
        <v>381</v>
      </c>
      <c r="B23">
        <v>169.6</v>
      </c>
      <c r="C23">
        <f t="shared" si="0"/>
        <v>-0.15333333333333332</v>
      </c>
      <c r="D23">
        <f t="shared" si="1"/>
        <v>16.883187400687191</v>
      </c>
      <c r="E23">
        <f t="shared" si="2"/>
        <v>0.99312867062865828</v>
      </c>
    </row>
    <row r="24" spans="1:5" x14ac:dyDescent="0.3">
      <c r="A24">
        <v>379</v>
      </c>
      <c r="B24">
        <v>170</v>
      </c>
      <c r="C24">
        <f t="shared" si="0"/>
        <v>-0.15777777777777777</v>
      </c>
      <c r="D24">
        <f t="shared" si="1"/>
        <v>16.903085094570333</v>
      </c>
      <c r="E24">
        <f t="shared" si="2"/>
        <v>0.99429912321001956</v>
      </c>
    </row>
    <row r="25" spans="1:5" x14ac:dyDescent="0.3">
      <c r="A25">
        <v>377</v>
      </c>
      <c r="B25">
        <v>169.8</v>
      </c>
      <c r="C25">
        <f t="shared" si="0"/>
        <v>-0.16222222222222221</v>
      </c>
      <c r="D25">
        <f t="shared" si="1"/>
        <v>16.893139177207541</v>
      </c>
      <c r="E25">
        <f t="shared" si="2"/>
        <v>0.99371406924750239</v>
      </c>
    </row>
    <row r="26" spans="1:5" x14ac:dyDescent="0.3">
      <c r="A26">
        <v>375</v>
      </c>
      <c r="B26">
        <v>169.5</v>
      </c>
      <c r="C26">
        <f t="shared" si="0"/>
        <v>-0.16666666666666666</v>
      </c>
      <c r="D26">
        <f t="shared" si="1"/>
        <v>16.878209312004397</v>
      </c>
      <c r="E26">
        <f t="shared" si="2"/>
        <v>0.99283584188261165</v>
      </c>
    </row>
    <row r="27" spans="1:5" x14ac:dyDescent="0.3">
      <c r="A27">
        <v>373</v>
      </c>
      <c r="B27">
        <v>169.5</v>
      </c>
      <c r="C27">
        <f t="shared" si="0"/>
        <v>-0.1711111111111111</v>
      </c>
      <c r="D27">
        <f t="shared" si="1"/>
        <v>16.878209312004397</v>
      </c>
      <c r="E27">
        <f t="shared" si="2"/>
        <v>0.99283584188261165</v>
      </c>
    </row>
    <row r="28" spans="1:5" x14ac:dyDescent="0.3">
      <c r="A28">
        <v>371</v>
      </c>
      <c r="B28">
        <v>169.6</v>
      </c>
      <c r="C28">
        <f t="shared" si="0"/>
        <v>-0.17555555555555555</v>
      </c>
      <c r="D28">
        <f t="shared" si="1"/>
        <v>16.883187400687191</v>
      </c>
      <c r="E28">
        <f t="shared" si="2"/>
        <v>0.99312867062865828</v>
      </c>
    </row>
    <row r="29" spans="1:5" x14ac:dyDescent="0.3">
      <c r="A29">
        <v>369</v>
      </c>
      <c r="B29">
        <v>169.4</v>
      </c>
      <c r="C29">
        <f t="shared" si="0"/>
        <v>-0.18</v>
      </c>
      <c r="D29">
        <f t="shared" si="1"/>
        <v>16.87322975464215</v>
      </c>
      <c r="E29">
        <f t="shared" si="2"/>
        <v>0.99254292674365585</v>
      </c>
    </row>
    <row r="30" spans="1:5" x14ac:dyDescent="0.3">
      <c r="A30">
        <v>367</v>
      </c>
      <c r="B30">
        <v>168.3</v>
      </c>
      <c r="C30">
        <f t="shared" si="0"/>
        <v>-0.18444444444444444</v>
      </c>
      <c r="D30">
        <f t="shared" si="1"/>
        <v>16.818357317441645</v>
      </c>
      <c r="E30">
        <f t="shared" si="2"/>
        <v>0.98931513632009682</v>
      </c>
    </row>
    <row r="31" spans="1:5" x14ac:dyDescent="0.3">
      <c r="A31">
        <v>366</v>
      </c>
      <c r="B31">
        <v>167.1</v>
      </c>
      <c r="C31">
        <f t="shared" si="0"/>
        <v>-0.18666666666666668</v>
      </c>
      <c r="D31">
        <f t="shared" si="1"/>
        <v>16.758291563714177</v>
      </c>
      <c r="E31">
        <f t="shared" si="2"/>
        <v>0.98578185668906926</v>
      </c>
    </row>
    <row r="32" spans="1:5" x14ac:dyDescent="0.3">
      <c r="A32">
        <v>365</v>
      </c>
      <c r="B32">
        <v>165.7</v>
      </c>
      <c r="C32">
        <f t="shared" si="0"/>
        <v>-0.18888888888888888</v>
      </c>
      <c r="D32">
        <f t="shared" si="1"/>
        <v>16.687941603384857</v>
      </c>
      <c r="E32">
        <f t="shared" si="2"/>
        <v>0.98164362372852099</v>
      </c>
    </row>
    <row r="33" spans="1:5" x14ac:dyDescent="0.3">
      <c r="A33">
        <v>364</v>
      </c>
      <c r="B33">
        <v>163.5</v>
      </c>
      <c r="C33">
        <f t="shared" si="0"/>
        <v>-0.19111111111111112</v>
      </c>
      <c r="D33">
        <f t="shared" si="1"/>
        <v>16.576788469615778</v>
      </c>
      <c r="E33">
        <f t="shared" si="2"/>
        <v>0.97510520409504575</v>
      </c>
    </row>
    <row r="34" spans="1:5" x14ac:dyDescent="0.3">
      <c r="A34">
        <v>363</v>
      </c>
      <c r="B34">
        <v>159.9</v>
      </c>
      <c r="C34">
        <f t="shared" si="0"/>
        <v>-0.19333333333333333</v>
      </c>
      <c r="D34">
        <f t="shared" si="1"/>
        <v>16.393275932476687</v>
      </c>
      <c r="E34">
        <f t="shared" si="2"/>
        <v>0.96431034896921686</v>
      </c>
    </row>
    <row r="35" spans="1:5" x14ac:dyDescent="0.3">
      <c r="A35">
        <v>362</v>
      </c>
      <c r="B35">
        <v>157.69999999999999</v>
      </c>
      <c r="C35">
        <f t="shared" si="0"/>
        <v>-0.19555555555555557</v>
      </c>
      <c r="D35">
        <f t="shared" si="1"/>
        <v>16.28011108090859</v>
      </c>
      <c r="E35">
        <f t="shared" si="2"/>
        <v>0.95765359299462294</v>
      </c>
    </row>
    <row r="36" spans="1:5" x14ac:dyDescent="0.3">
      <c r="A36">
        <v>361</v>
      </c>
      <c r="B36">
        <v>154.6</v>
      </c>
      <c r="C36">
        <f t="shared" si="0"/>
        <v>-0.19777777777777777</v>
      </c>
      <c r="D36">
        <f t="shared" si="1"/>
        <v>16.119303110653057</v>
      </c>
      <c r="E36">
        <f t="shared" si="2"/>
        <v>0.94819430062665044</v>
      </c>
    </row>
    <row r="37" spans="1:5" x14ac:dyDescent="0.3">
      <c r="A37">
        <v>360</v>
      </c>
      <c r="B37">
        <v>152.4</v>
      </c>
      <c r="C37">
        <f t="shared" si="0"/>
        <v>-0.2</v>
      </c>
      <c r="D37">
        <f t="shared" si="1"/>
        <v>16.004201129125832</v>
      </c>
      <c r="E37">
        <f t="shared" si="2"/>
        <v>0.94142359583093127</v>
      </c>
    </row>
    <row r="38" spans="1:5" x14ac:dyDescent="0.3">
      <c r="A38">
        <v>359</v>
      </c>
      <c r="B38">
        <v>150</v>
      </c>
      <c r="C38">
        <f t="shared" si="0"/>
        <v>-0.20222222222222222</v>
      </c>
      <c r="D38">
        <f t="shared" si="1"/>
        <v>15.877683720748895</v>
      </c>
      <c r="E38">
        <f t="shared" si="2"/>
        <v>0.93398139533817026</v>
      </c>
    </row>
    <row r="39" spans="1:5" x14ac:dyDescent="0.3">
      <c r="A39">
        <v>358</v>
      </c>
      <c r="B39">
        <v>147.69999999999999</v>
      </c>
      <c r="C39">
        <f t="shared" si="0"/>
        <v>-0.20444444444444446</v>
      </c>
      <c r="D39">
        <f t="shared" si="1"/>
        <v>15.755484572606678</v>
      </c>
      <c r="E39">
        <f t="shared" si="2"/>
        <v>0.92679321015333394</v>
      </c>
    </row>
    <row r="40" spans="1:5" x14ac:dyDescent="0.3">
      <c r="A40">
        <v>357</v>
      </c>
      <c r="B40">
        <v>147.1</v>
      </c>
      <c r="C40">
        <f t="shared" si="0"/>
        <v>-0.20666666666666667</v>
      </c>
      <c r="D40">
        <f t="shared" si="1"/>
        <v>15.723450345146974</v>
      </c>
      <c r="E40">
        <f t="shared" si="2"/>
        <v>0.92490884383217498</v>
      </c>
    </row>
    <row r="41" spans="1:5" x14ac:dyDescent="0.3">
      <c r="A41">
        <v>356</v>
      </c>
      <c r="B41">
        <v>146.5</v>
      </c>
      <c r="C41">
        <f t="shared" si="0"/>
        <v>-0.2088888888888889</v>
      </c>
      <c r="D41">
        <f t="shared" si="1"/>
        <v>15.691350719264355</v>
      </c>
      <c r="E41">
        <f t="shared" si="2"/>
        <v>0.92302063054496208</v>
      </c>
    </row>
    <row r="42" spans="1:5" x14ac:dyDescent="0.3">
      <c r="A42">
        <v>355</v>
      </c>
      <c r="B42">
        <v>147</v>
      </c>
      <c r="C42">
        <f t="shared" si="0"/>
        <v>-0.21111111111111111</v>
      </c>
      <c r="D42">
        <f t="shared" si="1"/>
        <v>15.718104959867516</v>
      </c>
      <c r="E42">
        <f t="shared" si="2"/>
        <v>0.92459440940397153</v>
      </c>
    </row>
    <row r="43" spans="1:5" x14ac:dyDescent="0.3">
      <c r="A43">
        <v>354</v>
      </c>
      <c r="B43">
        <v>148.1</v>
      </c>
      <c r="C43">
        <f t="shared" si="0"/>
        <v>-0.21333333333333335</v>
      </c>
      <c r="D43">
        <f t="shared" si="1"/>
        <v>15.776804588547394</v>
      </c>
      <c r="E43">
        <f t="shared" si="2"/>
        <v>0.92804732873808204</v>
      </c>
    </row>
    <row r="44" spans="1:5" x14ac:dyDescent="0.3">
      <c r="A44">
        <v>353</v>
      </c>
      <c r="B44">
        <v>151.5</v>
      </c>
      <c r="C44">
        <f t="shared" si="0"/>
        <v>-0.21555555555555556</v>
      </c>
      <c r="D44">
        <f t="shared" si="1"/>
        <v>15.956874654502235</v>
      </c>
      <c r="E44">
        <f t="shared" si="2"/>
        <v>0.93863968555895494</v>
      </c>
    </row>
    <row r="45" spans="1:5" x14ac:dyDescent="0.3">
      <c r="A45">
        <v>352</v>
      </c>
      <c r="B45">
        <v>153.19999999999999</v>
      </c>
      <c r="C45">
        <f t="shared" si="0"/>
        <v>-0.21777777777777776</v>
      </c>
      <c r="D45">
        <f t="shared" si="1"/>
        <v>16.046151924889614</v>
      </c>
      <c r="E45">
        <f t="shared" si="2"/>
        <v>0.94389128969938907</v>
      </c>
    </row>
    <row r="46" spans="1:5" x14ac:dyDescent="0.3">
      <c r="A46">
        <v>351</v>
      </c>
      <c r="B46">
        <v>155.5</v>
      </c>
      <c r="C46">
        <f t="shared" si="0"/>
        <v>-0.22</v>
      </c>
      <c r="D46">
        <f t="shared" si="1"/>
        <v>16.166154082376117</v>
      </c>
      <c r="E46">
        <f t="shared" si="2"/>
        <v>0.95095024013977159</v>
      </c>
    </row>
    <row r="47" spans="1:5" x14ac:dyDescent="0.3">
      <c r="A47">
        <v>350</v>
      </c>
      <c r="B47">
        <v>155.1</v>
      </c>
      <c r="C47">
        <f t="shared" si="0"/>
        <v>-0.22222222222222221</v>
      </c>
      <c r="D47">
        <f t="shared" si="1"/>
        <v>16.145348212645121</v>
      </c>
      <c r="E47">
        <f t="shared" si="2"/>
        <v>0.94972636544971301</v>
      </c>
    </row>
    <row r="48" spans="1:5" x14ac:dyDescent="0.3">
      <c r="A48">
        <v>349</v>
      </c>
      <c r="B48">
        <v>158</v>
      </c>
      <c r="C48">
        <f t="shared" si="0"/>
        <v>-0.22444444444444445</v>
      </c>
      <c r="D48">
        <f t="shared" si="1"/>
        <v>16.295588927295476</v>
      </c>
      <c r="E48">
        <f t="shared" si="2"/>
        <v>0.95856405454679272</v>
      </c>
    </row>
    <row r="49" spans="1:5" x14ac:dyDescent="0.3">
      <c r="A49">
        <v>348</v>
      </c>
      <c r="B49">
        <v>161.5</v>
      </c>
      <c r="C49">
        <f t="shared" si="0"/>
        <v>-0.22666666666666666</v>
      </c>
      <c r="D49">
        <f t="shared" si="1"/>
        <v>16.47508942095828</v>
      </c>
      <c r="E49">
        <f t="shared" si="2"/>
        <v>0.969122907115193</v>
      </c>
    </row>
    <row r="50" spans="1:5" x14ac:dyDescent="0.3">
      <c r="A50">
        <v>347</v>
      </c>
      <c r="B50">
        <v>162</v>
      </c>
      <c r="C50">
        <f t="shared" si="0"/>
        <v>-0.22888888888888889</v>
      </c>
      <c r="D50">
        <f t="shared" si="1"/>
        <v>16.500572946507802</v>
      </c>
      <c r="E50">
        <f t="shared" si="2"/>
        <v>0.97062193802987073</v>
      </c>
    </row>
    <row r="51" spans="1:5" x14ac:dyDescent="0.3">
      <c r="A51">
        <v>346</v>
      </c>
      <c r="B51">
        <v>164.9</v>
      </c>
      <c r="C51">
        <f t="shared" si="0"/>
        <v>-0.2311111111111111</v>
      </c>
      <c r="D51">
        <f t="shared" si="1"/>
        <v>16.647608150808246</v>
      </c>
      <c r="E51">
        <f t="shared" si="2"/>
        <v>0.9792710676946027</v>
      </c>
    </row>
    <row r="52" spans="1:5" x14ac:dyDescent="0.3">
      <c r="A52">
        <v>345</v>
      </c>
      <c r="B52">
        <v>167</v>
      </c>
      <c r="C52">
        <f t="shared" si="0"/>
        <v>-0.23333333333333334</v>
      </c>
      <c r="D52">
        <f t="shared" si="1"/>
        <v>16.753276363373317</v>
      </c>
      <c r="E52">
        <f t="shared" si="2"/>
        <v>0.98548684490431271</v>
      </c>
    </row>
    <row r="53" spans="1:5" x14ac:dyDescent="0.3">
      <c r="A53">
        <v>344</v>
      </c>
      <c r="B53">
        <v>167.7</v>
      </c>
      <c r="C53">
        <f t="shared" si="0"/>
        <v>-0.23555555555555555</v>
      </c>
      <c r="D53">
        <f t="shared" si="1"/>
        <v>16.788351303680727</v>
      </c>
      <c r="E53">
        <f t="shared" si="2"/>
        <v>0.9875500766871016</v>
      </c>
    </row>
    <row r="54" spans="1:5" x14ac:dyDescent="0.3">
      <c r="A54">
        <v>343</v>
      </c>
      <c r="B54">
        <v>168.1</v>
      </c>
      <c r="C54">
        <f t="shared" si="0"/>
        <v>-0.23777777777777778</v>
      </c>
      <c r="D54">
        <f t="shared" si="1"/>
        <v>16.808361264661148</v>
      </c>
      <c r="E54">
        <f t="shared" si="2"/>
        <v>0.98872713321536165</v>
      </c>
    </row>
    <row r="55" spans="1:5" x14ac:dyDescent="0.3">
      <c r="A55">
        <v>342</v>
      </c>
      <c r="B55">
        <v>169.2</v>
      </c>
      <c r="C55">
        <f t="shared" si="0"/>
        <v>-0.24</v>
      </c>
      <c r="D55">
        <f t="shared" si="1"/>
        <v>16.863266228674672</v>
      </c>
      <c r="E55">
        <f t="shared" si="2"/>
        <v>0.99195683698086301</v>
      </c>
    </row>
    <row r="56" spans="1:5" x14ac:dyDescent="0.3">
      <c r="A56">
        <v>341</v>
      </c>
      <c r="B56">
        <v>170</v>
      </c>
      <c r="C56">
        <f t="shared" si="0"/>
        <v>-0.24222222222222223</v>
      </c>
      <c r="D56">
        <f t="shared" si="1"/>
        <v>16.903085094570333</v>
      </c>
      <c r="E56">
        <f t="shared" si="2"/>
        <v>0.99429912321001956</v>
      </c>
    </row>
    <row r="57" spans="1:5" x14ac:dyDescent="0.3">
      <c r="A57">
        <v>340</v>
      </c>
      <c r="B57">
        <v>169</v>
      </c>
      <c r="C57">
        <f t="shared" si="0"/>
        <v>-0.24444444444444444</v>
      </c>
      <c r="D57">
        <f t="shared" si="1"/>
        <v>16.853296812356273</v>
      </c>
      <c r="E57">
        <f t="shared" si="2"/>
        <v>0.99137040072683957</v>
      </c>
    </row>
    <row r="58" spans="1:5" x14ac:dyDescent="0.3">
      <c r="A58">
        <v>339</v>
      </c>
      <c r="B58">
        <v>169.5</v>
      </c>
      <c r="C58">
        <f t="shared" si="0"/>
        <v>-0.24666666666666667</v>
      </c>
      <c r="D58">
        <f t="shared" si="1"/>
        <v>16.878209312004397</v>
      </c>
      <c r="E58">
        <f t="shared" si="2"/>
        <v>0.99283584188261165</v>
      </c>
    </row>
    <row r="59" spans="1:5" x14ac:dyDescent="0.3">
      <c r="A59">
        <v>338</v>
      </c>
      <c r="B59">
        <v>170</v>
      </c>
      <c r="C59">
        <f t="shared" si="0"/>
        <v>-0.24888888888888888</v>
      </c>
      <c r="D59">
        <f t="shared" si="1"/>
        <v>16.903085094570333</v>
      </c>
      <c r="E59">
        <f t="shared" si="2"/>
        <v>0.99429912321001956</v>
      </c>
    </row>
    <row r="60" spans="1:5" x14ac:dyDescent="0.3">
      <c r="A60">
        <v>337</v>
      </c>
      <c r="B60">
        <v>169.3</v>
      </c>
      <c r="C60">
        <f t="shared" si="0"/>
        <v>-0.25111111111111112</v>
      </c>
      <c r="D60">
        <f t="shared" si="1"/>
        <v>16.868248727299775</v>
      </c>
      <c r="E60">
        <f t="shared" si="2"/>
        <v>0.99224992513528087</v>
      </c>
    </row>
    <row r="61" spans="1:5" x14ac:dyDescent="0.3">
      <c r="A61">
        <v>336</v>
      </c>
      <c r="B61">
        <v>170</v>
      </c>
      <c r="C61">
        <f t="shared" si="0"/>
        <v>-0.25333333333333335</v>
      </c>
      <c r="D61">
        <f t="shared" si="1"/>
        <v>16.903085094570333</v>
      </c>
      <c r="E61">
        <f t="shared" si="2"/>
        <v>0.99429912321001956</v>
      </c>
    </row>
    <row r="62" spans="1:5" x14ac:dyDescent="0.3">
      <c r="A62">
        <v>334</v>
      </c>
      <c r="B62">
        <v>170</v>
      </c>
      <c r="C62">
        <f t="shared" si="0"/>
        <v>-0.25777777777777777</v>
      </c>
      <c r="D62">
        <f t="shared" si="1"/>
        <v>16.903085094570333</v>
      </c>
      <c r="E62">
        <f t="shared" si="2"/>
        <v>0.99429912321001956</v>
      </c>
    </row>
    <row r="63" spans="1:5" x14ac:dyDescent="0.3">
      <c r="A63">
        <v>332</v>
      </c>
      <c r="B63">
        <v>169.8</v>
      </c>
      <c r="C63">
        <f t="shared" si="0"/>
        <v>-0.26222222222222225</v>
      </c>
      <c r="D63">
        <f t="shared" si="1"/>
        <v>16.893139177207541</v>
      </c>
      <c r="E63">
        <f t="shared" si="2"/>
        <v>0.99371406924750239</v>
      </c>
    </row>
    <row r="64" spans="1:5" x14ac:dyDescent="0.3">
      <c r="A64">
        <v>330</v>
      </c>
      <c r="B64">
        <v>170</v>
      </c>
      <c r="C64">
        <f t="shared" si="0"/>
        <v>-0.26666666666666666</v>
      </c>
      <c r="D64">
        <f t="shared" si="1"/>
        <v>16.903085094570333</v>
      </c>
      <c r="E64">
        <f t="shared" si="2"/>
        <v>0.99429912321001956</v>
      </c>
    </row>
    <row r="65" spans="1:5" x14ac:dyDescent="0.3">
      <c r="A65">
        <v>328</v>
      </c>
      <c r="B65">
        <v>169.7</v>
      </c>
      <c r="C65">
        <f t="shared" si="0"/>
        <v>-0.27111111111111114</v>
      </c>
      <c r="D65">
        <f t="shared" si="1"/>
        <v>16.88816402198929</v>
      </c>
      <c r="E65">
        <f t="shared" si="2"/>
        <v>0.99342141305819354</v>
      </c>
    </row>
    <row r="66" spans="1:5" x14ac:dyDescent="0.3">
      <c r="A66">
        <v>326</v>
      </c>
      <c r="B66">
        <v>169.9</v>
      </c>
      <c r="C66">
        <f t="shared" si="0"/>
        <v>-0.27555555555555555</v>
      </c>
      <c r="D66">
        <f t="shared" si="1"/>
        <v>16.898112867636875</v>
      </c>
      <c r="E66">
        <f t="shared" si="2"/>
        <v>0.99400663927275734</v>
      </c>
    </row>
    <row r="67" spans="1:5" x14ac:dyDescent="0.3">
      <c r="A67">
        <v>324</v>
      </c>
      <c r="B67">
        <v>169.5</v>
      </c>
      <c r="C67">
        <f t="shared" ref="C67:C78" si="3">(A67-450)/450</f>
        <v>-0.28000000000000003</v>
      </c>
      <c r="D67">
        <f t="shared" ref="D67:D78" si="4">SQRT((2*B67)/1.19)</f>
        <v>16.878209312004397</v>
      </c>
      <c r="E67">
        <f t="shared" ref="E67:E78" si="5">D67/17</f>
        <v>0.99283584188261165</v>
      </c>
    </row>
    <row r="68" spans="1:5" x14ac:dyDescent="0.3">
      <c r="A68">
        <v>322</v>
      </c>
      <c r="B68">
        <v>170</v>
      </c>
      <c r="C68">
        <f t="shared" si="3"/>
        <v>-0.28444444444444444</v>
      </c>
      <c r="D68">
        <f t="shared" si="4"/>
        <v>16.903085094570333</v>
      </c>
      <c r="E68">
        <f t="shared" si="5"/>
        <v>0.99429912321001956</v>
      </c>
    </row>
    <row r="69" spans="1:5" x14ac:dyDescent="0.3">
      <c r="A69">
        <v>320</v>
      </c>
      <c r="B69">
        <v>169.8</v>
      </c>
      <c r="C69">
        <f t="shared" si="3"/>
        <v>-0.28888888888888886</v>
      </c>
      <c r="D69">
        <f t="shared" si="4"/>
        <v>16.893139177207541</v>
      </c>
      <c r="E69">
        <f t="shared" si="5"/>
        <v>0.99371406924750239</v>
      </c>
    </row>
    <row r="70" spans="1:5" x14ac:dyDescent="0.3">
      <c r="A70">
        <v>318</v>
      </c>
      <c r="B70">
        <v>169.7</v>
      </c>
      <c r="C70">
        <f t="shared" si="3"/>
        <v>-0.29333333333333333</v>
      </c>
      <c r="D70">
        <f t="shared" si="4"/>
        <v>16.88816402198929</v>
      </c>
      <c r="E70">
        <f t="shared" si="5"/>
        <v>0.99342141305819354</v>
      </c>
    </row>
    <row r="71" spans="1:5" x14ac:dyDescent="0.3">
      <c r="A71">
        <v>316</v>
      </c>
      <c r="B71">
        <v>170</v>
      </c>
      <c r="C71">
        <f t="shared" si="3"/>
        <v>-0.29777777777777775</v>
      </c>
      <c r="D71">
        <f t="shared" si="4"/>
        <v>16.903085094570333</v>
      </c>
      <c r="E71">
        <f t="shared" si="5"/>
        <v>0.99429912321001956</v>
      </c>
    </row>
    <row r="72" spans="1:5" x14ac:dyDescent="0.3">
      <c r="A72">
        <v>314</v>
      </c>
      <c r="B72">
        <v>169.9</v>
      </c>
      <c r="C72">
        <f t="shared" si="3"/>
        <v>-0.30222222222222223</v>
      </c>
      <c r="D72">
        <f t="shared" si="4"/>
        <v>16.898112867636875</v>
      </c>
      <c r="E72">
        <f t="shared" si="5"/>
        <v>0.99400663927275734</v>
      </c>
    </row>
    <row r="73" spans="1:5" x14ac:dyDescent="0.3">
      <c r="A73">
        <v>312</v>
      </c>
      <c r="B73">
        <v>169.9</v>
      </c>
      <c r="C73">
        <f t="shared" si="3"/>
        <v>-0.30666666666666664</v>
      </c>
      <c r="D73">
        <f t="shared" si="4"/>
        <v>16.898112867636875</v>
      </c>
      <c r="E73">
        <f t="shared" si="5"/>
        <v>0.99400663927275734</v>
      </c>
    </row>
    <row r="74" spans="1:5" x14ac:dyDescent="0.3">
      <c r="A74">
        <v>310</v>
      </c>
      <c r="B74">
        <v>169.8</v>
      </c>
      <c r="C74">
        <f t="shared" si="3"/>
        <v>-0.31111111111111112</v>
      </c>
      <c r="D74">
        <f t="shared" si="4"/>
        <v>16.893139177207541</v>
      </c>
      <c r="E74">
        <f t="shared" si="5"/>
        <v>0.99371406924750239</v>
      </c>
    </row>
    <row r="75" spans="1:5" x14ac:dyDescent="0.3">
      <c r="A75">
        <v>305</v>
      </c>
      <c r="B75">
        <v>170</v>
      </c>
      <c r="C75">
        <f t="shared" si="3"/>
        <v>-0.32222222222222224</v>
      </c>
      <c r="D75">
        <f t="shared" si="4"/>
        <v>16.903085094570333</v>
      </c>
      <c r="E75">
        <f t="shared" si="5"/>
        <v>0.99429912321001956</v>
      </c>
    </row>
    <row r="76" spans="1:5" x14ac:dyDescent="0.3">
      <c r="A76">
        <v>300</v>
      </c>
      <c r="B76">
        <v>169.8</v>
      </c>
      <c r="C76">
        <f t="shared" si="3"/>
        <v>-0.33333333333333331</v>
      </c>
      <c r="D76">
        <f t="shared" si="4"/>
        <v>16.893139177207541</v>
      </c>
      <c r="E76">
        <f t="shared" si="5"/>
        <v>0.99371406924750239</v>
      </c>
    </row>
    <row r="77" spans="1:5" x14ac:dyDescent="0.3">
      <c r="A77">
        <v>295</v>
      </c>
      <c r="B77">
        <v>170</v>
      </c>
      <c r="C77">
        <f t="shared" si="3"/>
        <v>-0.34444444444444444</v>
      </c>
      <c r="D77">
        <f t="shared" si="4"/>
        <v>16.903085094570333</v>
      </c>
      <c r="E77">
        <f t="shared" si="5"/>
        <v>0.99429912321001956</v>
      </c>
    </row>
    <row r="78" spans="1:5" x14ac:dyDescent="0.3">
      <c r="A78">
        <v>290</v>
      </c>
      <c r="B78">
        <v>170.1</v>
      </c>
      <c r="C78">
        <f t="shared" si="3"/>
        <v>-0.35555555555555557</v>
      </c>
      <c r="D78">
        <f t="shared" si="4"/>
        <v>16.908055859299036</v>
      </c>
      <c r="E78">
        <f t="shared" si="5"/>
        <v>0.99459152113523741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7116-82BA-4CAD-801D-63928C12F848}">
  <dimension ref="A1:E82"/>
  <sheetViews>
    <sheetView tabSelected="1" workbookViewId="0">
      <selection activeCell="Q20" sqref="Q20"/>
    </sheetView>
  </sheetViews>
  <sheetFormatPr defaultRowHeight="14.4" x14ac:dyDescent="0.3"/>
  <cols>
    <col min="2" max="2" width="15.21875" bestFit="1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10</v>
      </c>
      <c r="E1" t="s">
        <v>11</v>
      </c>
    </row>
    <row r="2" spans="1:5" x14ac:dyDescent="0.3">
      <c r="A2">
        <v>240</v>
      </c>
      <c r="B2">
        <v>174.4</v>
      </c>
      <c r="C2">
        <f>(A2-240)/240</f>
        <v>0</v>
      </c>
      <c r="D2">
        <f>SQRT(2*B2/1.19)</f>
        <v>17.120433513713344</v>
      </c>
      <c r="E2">
        <f>D2/17</f>
        <v>1.007084324336079</v>
      </c>
    </row>
    <row r="3" spans="1:5" x14ac:dyDescent="0.3">
      <c r="A3">
        <v>245</v>
      </c>
      <c r="B3">
        <v>174</v>
      </c>
      <c r="C3">
        <f t="shared" ref="C3:C66" si="0">(A3-240)/240</f>
        <v>2.0833333333333332E-2</v>
      </c>
      <c r="D3">
        <f t="shared" ref="D3:D82" si="1">SQRT(2*B3/1.19)</f>
        <v>17.100788718357876</v>
      </c>
      <c r="E3">
        <f t="shared" ref="E3:E82" si="2">D3/17</f>
        <v>1.0059287481386985</v>
      </c>
    </row>
    <row r="4" spans="1:5" x14ac:dyDescent="0.3">
      <c r="A4">
        <v>250</v>
      </c>
      <c r="B4">
        <v>174.1</v>
      </c>
      <c r="C4">
        <f t="shared" si="0"/>
        <v>4.1666666666666664E-2</v>
      </c>
      <c r="D4">
        <f t="shared" si="1"/>
        <v>17.10570203227002</v>
      </c>
      <c r="E4">
        <f t="shared" si="2"/>
        <v>1.0062177666041188</v>
      </c>
    </row>
    <row r="5" spans="1:5" x14ac:dyDescent="0.3">
      <c r="A5">
        <v>255</v>
      </c>
      <c r="B5">
        <v>174.2</v>
      </c>
      <c r="C5">
        <f t="shared" si="0"/>
        <v>6.25E-2</v>
      </c>
      <c r="D5">
        <f t="shared" si="1"/>
        <v>17.110613935323816</v>
      </c>
      <c r="E5">
        <f t="shared" si="2"/>
        <v>1.0065067020778715</v>
      </c>
    </row>
    <row r="6" spans="1:5" x14ac:dyDescent="0.3">
      <c r="A6">
        <v>260</v>
      </c>
      <c r="B6">
        <v>173.9</v>
      </c>
      <c r="C6">
        <f t="shared" si="0"/>
        <v>8.3333333333333329E-2</v>
      </c>
      <c r="D6">
        <f t="shared" si="1"/>
        <v>17.095873992370944</v>
      </c>
      <c r="E6">
        <f t="shared" si="2"/>
        <v>1.0056396466100554</v>
      </c>
    </row>
    <row r="7" spans="1:5" x14ac:dyDescent="0.3">
      <c r="A7">
        <v>265</v>
      </c>
      <c r="B7">
        <v>174.2</v>
      </c>
      <c r="C7">
        <f t="shared" si="0"/>
        <v>0.10416666666666667</v>
      </c>
      <c r="D7">
        <f t="shared" si="1"/>
        <v>17.110613935323816</v>
      </c>
      <c r="E7">
        <f t="shared" si="2"/>
        <v>1.0065067020778715</v>
      </c>
    </row>
    <row r="8" spans="1:5" x14ac:dyDescent="0.3">
      <c r="A8">
        <v>270</v>
      </c>
      <c r="B8">
        <v>174</v>
      </c>
      <c r="C8">
        <f t="shared" si="0"/>
        <v>0.125</v>
      </c>
      <c r="D8">
        <f t="shared" si="1"/>
        <v>17.100788718357876</v>
      </c>
      <c r="E8">
        <f t="shared" si="2"/>
        <v>1.0059287481386985</v>
      </c>
    </row>
    <row r="9" spans="1:5" x14ac:dyDescent="0.3">
      <c r="A9">
        <v>272</v>
      </c>
      <c r="B9">
        <v>173.8</v>
      </c>
      <c r="C9">
        <f t="shared" si="0"/>
        <v>0.13333333333333333</v>
      </c>
      <c r="D9">
        <f t="shared" si="1"/>
        <v>17.090957853091044</v>
      </c>
      <c r="E9">
        <f t="shared" si="2"/>
        <v>1.0053504619465321</v>
      </c>
    </row>
    <row r="10" spans="1:5" x14ac:dyDescent="0.3">
      <c r="A10">
        <v>274</v>
      </c>
      <c r="B10">
        <v>173.9</v>
      </c>
      <c r="C10">
        <f t="shared" si="0"/>
        <v>0.14166666666666666</v>
      </c>
      <c r="D10">
        <f t="shared" si="1"/>
        <v>17.095873992370944</v>
      </c>
      <c r="E10">
        <f t="shared" si="2"/>
        <v>1.0056396466100554</v>
      </c>
    </row>
    <row r="11" spans="1:5" x14ac:dyDescent="0.3">
      <c r="A11">
        <v>276</v>
      </c>
      <c r="B11">
        <v>173.7</v>
      </c>
      <c r="C11">
        <f t="shared" si="0"/>
        <v>0.15</v>
      </c>
      <c r="D11">
        <f t="shared" si="1"/>
        <v>17.086040299298244</v>
      </c>
      <c r="E11">
        <f t="shared" si="2"/>
        <v>1.0050611940763672</v>
      </c>
    </row>
    <row r="12" spans="1:5" x14ac:dyDescent="0.3">
      <c r="A12">
        <v>278</v>
      </c>
      <c r="B12">
        <v>173.8</v>
      </c>
      <c r="C12">
        <f t="shared" si="0"/>
        <v>0.15833333333333333</v>
      </c>
      <c r="D12">
        <f t="shared" si="1"/>
        <v>17.090957853091044</v>
      </c>
      <c r="E12">
        <f t="shared" si="2"/>
        <v>1.0053504619465321</v>
      </c>
    </row>
    <row r="13" spans="1:5" x14ac:dyDescent="0.3">
      <c r="A13">
        <v>280</v>
      </c>
      <c r="B13">
        <v>173.9</v>
      </c>
      <c r="C13">
        <f t="shared" si="0"/>
        <v>0.16666666666666666</v>
      </c>
      <c r="D13">
        <f t="shared" si="1"/>
        <v>17.095873992370944</v>
      </c>
      <c r="E13">
        <f t="shared" si="2"/>
        <v>1.0056396466100554</v>
      </c>
    </row>
    <row r="14" spans="1:5" x14ac:dyDescent="0.3">
      <c r="A14">
        <v>282</v>
      </c>
      <c r="B14">
        <v>173.5</v>
      </c>
      <c r="C14">
        <f t="shared" si="0"/>
        <v>0.17499999999999999</v>
      </c>
      <c r="D14">
        <f t="shared" si="1"/>
        <v>17.076200943285428</v>
      </c>
      <c r="E14">
        <f t="shared" si="2"/>
        <v>1.0044824084285546</v>
      </c>
    </row>
    <row r="15" spans="1:5" x14ac:dyDescent="0.3">
      <c r="A15">
        <v>284</v>
      </c>
      <c r="B15">
        <v>173.6</v>
      </c>
      <c r="C15">
        <f t="shared" si="0"/>
        <v>0.18333333333333332</v>
      </c>
      <c r="D15">
        <f t="shared" si="1"/>
        <v>17.081121329770856</v>
      </c>
      <c r="E15">
        <f t="shared" si="2"/>
        <v>1.0047718429276973</v>
      </c>
    </row>
    <row r="16" spans="1:5" x14ac:dyDescent="0.3">
      <c r="A16">
        <v>286</v>
      </c>
      <c r="B16">
        <v>173.5</v>
      </c>
      <c r="C16">
        <f t="shared" si="0"/>
        <v>0.19166666666666668</v>
      </c>
      <c r="D16">
        <f t="shared" si="1"/>
        <v>17.076200943285428</v>
      </c>
      <c r="E16">
        <f t="shared" si="2"/>
        <v>1.0044824084285546</v>
      </c>
    </row>
    <row r="17" spans="1:5" x14ac:dyDescent="0.3">
      <c r="A17">
        <v>288</v>
      </c>
      <c r="B17">
        <v>173.7</v>
      </c>
      <c r="C17">
        <f t="shared" si="0"/>
        <v>0.2</v>
      </c>
      <c r="D17">
        <f t="shared" si="1"/>
        <v>17.086040299298244</v>
      </c>
      <c r="E17">
        <f t="shared" si="2"/>
        <v>1.0050611940763672</v>
      </c>
    </row>
    <row r="18" spans="1:5" x14ac:dyDescent="0.3">
      <c r="A18">
        <v>290</v>
      </c>
      <c r="B18">
        <v>173.5</v>
      </c>
      <c r="C18">
        <f t="shared" si="0"/>
        <v>0.20833333333333334</v>
      </c>
      <c r="D18">
        <f t="shared" si="1"/>
        <v>17.076200943285428</v>
      </c>
      <c r="E18">
        <f t="shared" si="2"/>
        <v>1.0044824084285546</v>
      </c>
    </row>
    <row r="19" spans="1:5" x14ac:dyDescent="0.3">
      <c r="A19">
        <v>292</v>
      </c>
      <c r="B19">
        <v>173.8</v>
      </c>
      <c r="C19">
        <f t="shared" si="0"/>
        <v>0.21666666666666667</v>
      </c>
      <c r="D19">
        <f t="shared" si="1"/>
        <v>17.090957853091044</v>
      </c>
      <c r="E19">
        <f t="shared" si="2"/>
        <v>1.0053504619465321</v>
      </c>
    </row>
    <row r="20" spans="1:5" x14ac:dyDescent="0.3">
      <c r="A20">
        <v>294</v>
      </c>
      <c r="B20">
        <v>173.5</v>
      </c>
      <c r="C20">
        <f t="shared" si="0"/>
        <v>0.22500000000000001</v>
      </c>
      <c r="D20">
        <f t="shared" si="1"/>
        <v>17.076200943285428</v>
      </c>
      <c r="E20">
        <f t="shared" si="2"/>
        <v>1.0044824084285546</v>
      </c>
    </row>
    <row r="21" spans="1:5" x14ac:dyDescent="0.3">
      <c r="A21">
        <v>296</v>
      </c>
      <c r="B21">
        <v>173.1</v>
      </c>
      <c r="C21">
        <f t="shared" si="0"/>
        <v>0.23333333333333334</v>
      </c>
      <c r="D21">
        <f t="shared" si="1"/>
        <v>17.056505203232554</v>
      </c>
      <c r="E21">
        <f t="shared" si="2"/>
        <v>1.003323835484268</v>
      </c>
    </row>
    <row r="22" spans="1:5" x14ac:dyDescent="0.3">
      <c r="A22">
        <v>298</v>
      </c>
      <c r="B22">
        <v>173.4</v>
      </c>
      <c r="C22">
        <f t="shared" si="0"/>
        <v>0.24166666666666667</v>
      </c>
      <c r="D22">
        <f t="shared" si="1"/>
        <v>17.071279138616749</v>
      </c>
      <c r="E22">
        <f t="shared" si="2"/>
        <v>1.0041928905068676</v>
      </c>
    </row>
    <row r="23" spans="1:5" x14ac:dyDescent="0.3">
      <c r="A23">
        <v>300</v>
      </c>
      <c r="B23">
        <v>173.5</v>
      </c>
      <c r="C23">
        <f t="shared" si="0"/>
        <v>0.25</v>
      </c>
      <c r="D23">
        <f t="shared" si="1"/>
        <v>17.076200943285428</v>
      </c>
      <c r="E23">
        <f t="shared" si="2"/>
        <v>1.0044824084285546</v>
      </c>
    </row>
    <row r="24" spans="1:5" x14ac:dyDescent="0.3">
      <c r="A24">
        <v>302</v>
      </c>
      <c r="B24">
        <v>173.3</v>
      </c>
      <c r="C24">
        <f t="shared" si="0"/>
        <v>0.25833333333333336</v>
      </c>
      <c r="D24">
        <f t="shared" si="1"/>
        <v>17.066355914537841</v>
      </c>
      <c r="E24">
        <f t="shared" si="2"/>
        <v>1.0039032890904611</v>
      </c>
    </row>
    <row r="25" spans="1:5" x14ac:dyDescent="0.3">
      <c r="A25">
        <v>304</v>
      </c>
      <c r="B25">
        <v>173.1</v>
      </c>
      <c r="C25">
        <f t="shared" si="0"/>
        <v>0.26666666666666666</v>
      </c>
      <c r="D25">
        <f t="shared" si="1"/>
        <v>17.056505203232554</v>
      </c>
      <c r="E25">
        <f t="shared" si="2"/>
        <v>1.003323835484268</v>
      </c>
    </row>
    <row r="26" spans="1:5" x14ac:dyDescent="0.3">
      <c r="A26">
        <v>306</v>
      </c>
      <c r="B26">
        <v>172.8</v>
      </c>
      <c r="C26">
        <f t="shared" si="0"/>
        <v>0.27500000000000002</v>
      </c>
      <c r="D26">
        <f t="shared" si="1"/>
        <v>17.041718459921434</v>
      </c>
      <c r="E26">
        <f t="shared" si="2"/>
        <v>1.0024540270542019</v>
      </c>
    </row>
    <row r="27" spans="1:5" x14ac:dyDescent="0.3">
      <c r="A27">
        <v>308</v>
      </c>
      <c r="B27">
        <v>173</v>
      </c>
      <c r="C27">
        <f t="shared" si="0"/>
        <v>0.28333333333333333</v>
      </c>
      <c r="D27">
        <f t="shared" si="1"/>
        <v>17.051577713543356</v>
      </c>
      <c r="E27">
        <f t="shared" si="2"/>
        <v>1.0030339831496091</v>
      </c>
    </row>
    <row r="28" spans="1:5" x14ac:dyDescent="0.3">
      <c r="A28">
        <v>310</v>
      </c>
      <c r="B28">
        <v>173.3</v>
      </c>
      <c r="C28">
        <f t="shared" si="0"/>
        <v>0.29166666666666669</v>
      </c>
      <c r="D28">
        <f t="shared" si="1"/>
        <v>17.066355914537841</v>
      </c>
      <c r="E28">
        <f t="shared" si="2"/>
        <v>1.0039032890904611</v>
      </c>
    </row>
    <row r="29" spans="1:5" x14ac:dyDescent="0.3">
      <c r="A29">
        <v>312</v>
      </c>
      <c r="B29">
        <v>172.9</v>
      </c>
      <c r="C29">
        <f t="shared" si="0"/>
        <v>0.3</v>
      </c>
      <c r="D29">
        <f t="shared" si="1"/>
        <v>17.04664879951827</v>
      </c>
      <c r="E29">
        <f t="shared" si="2"/>
        <v>1.0027440470304865</v>
      </c>
    </row>
    <row r="30" spans="1:5" x14ac:dyDescent="0.3">
      <c r="A30">
        <v>314</v>
      </c>
      <c r="B30">
        <v>173.1</v>
      </c>
      <c r="C30">
        <f t="shared" si="0"/>
        <v>0.30833333333333335</v>
      </c>
      <c r="D30">
        <f t="shared" si="1"/>
        <v>17.056505203232554</v>
      </c>
      <c r="E30">
        <f t="shared" si="2"/>
        <v>1.003323835484268</v>
      </c>
    </row>
    <row r="31" spans="1:5" x14ac:dyDescent="0.3">
      <c r="A31">
        <v>316</v>
      </c>
      <c r="B31">
        <v>173</v>
      </c>
      <c r="C31">
        <f t="shared" si="0"/>
        <v>0.31666666666666665</v>
      </c>
      <c r="D31">
        <f t="shared" si="1"/>
        <v>17.051577713543356</v>
      </c>
      <c r="E31">
        <f t="shared" si="2"/>
        <v>1.0030339831496091</v>
      </c>
    </row>
    <row r="32" spans="1:5" x14ac:dyDescent="0.3">
      <c r="A32">
        <v>318</v>
      </c>
      <c r="B32">
        <v>173.3</v>
      </c>
      <c r="C32">
        <f t="shared" si="0"/>
        <v>0.32500000000000001</v>
      </c>
      <c r="D32">
        <f t="shared" si="1"/>
        <v>17.066355914537841</v>
      </c>
      <c r="E32">
        <f t="shared" si="2"/>
        <v>1.0039032890904611</v>
      </c>
    </row>
    <row r="33" spans="1:5" x14ac:dyDescent="0.3">
      <c r="A33">
        <v>320</v>
      </c>
      <c r="B33">
        <v>173.3</v>
      </c>
      <c r="C33">
        <f t="shared" si="0"/>
        <v>0.33333333333333331</v>
      </c>
      <c r="D33">
        <f t="shared" si="1"/>
        <v>17.066355914537841</v>
      </c>
      <c r="E33">
        <f t="shared" si="2"/>
        <v>1.0039032890904611</v>
      </c>
    </row>
    <row r="34" spans="1:5" x14ac:dyDescent="0.3">
      <c r="A34">
        <v>322</v>
      </c>
      <c r="B34">
        <v>172.8</v>
      </c>
      <c r="C34">
        <f t="shared" si="0"/>
        <v>0.34166666666666667</v>
      </c>
      <c r="D34">
        <f t="shared" si="1"/>
        <v>17.041718459921434</v>
      </c>
      <c r="E34">
        <f t="shared" si="2"/>
        <v>1.0024540270542019</v>
      </c>
    </row>
    <row r="35" spans="1:5" x14ac:dyDescent="0.3">
      <c r="A35">
        <v>324</v>
      </c>
      <c r="B35">
        <v>172.8</v>
      </c>
      <c r="C35">
        <f t="shared" si="0"/>
        <v>0.35</v>
      </c>
      <c r="D35">
        <f t="shared" si="1"/>
        <v>17.041718459921434</v>
      </c>
      <c r="E35">
        <f t="shared" si="2"/>
        <v>1.0024540270542019</v>
      </c>
    </row>
    <row r="36" spans="1:5" x14ac:dyDescent="0.3">
      <c r="A36">
        <v>326</v>
      </c>
      <c r="B36">
        <v>172.5</v>
      </c>
      <c r="C36">
        <f t="shared" si="0"/>
        <v>0.35833333333333334</v>
      </c>
      <c r="D36">
        <f t="shared" si="1"/>
        <v>17.026918875314895</v>
      </c>
      <c r="E36">
        <f t="shared" si="2"/>
        <v>1.0015834632538174</v>
      </c>
    </row>
    <row r="37" spans="1:5" x14ac:dyDescent="0.3">
      <c r="A37">
        <v>328</v>
      </c>
      <c r="B37">
        <v>171.4</v>
      </c>
      <c r="C37">
        <f t="shared" si="0"/>
        <v>0.36666666666666664</v>
      </c>
      <c r="D37">
        <f t="shared" si="1"/>
        <v>16.972543324167898</v>
      </c>
      <c r="E37">
        <f t="shared" si="2"/>
        <v>0.99838490142164105</v>
      </c>
    </row>
    <row r="38" spans="1:5" x14ac:dyDescent="0.3">
      <c r="A38">
        <v>330</v>
      </c>
      <c r="B38">
        <v>170.1</v>
      </c>
      <c r="C38">
        <f t="shared" si="0"/>
        <v>0.375</v>
      </c>
      <c r="D38">
        <f t="shared" si="1"/>
        <v>16.908055859299036</v>
      </c>
      <c r="E38">
        <f t="shared" si="2"/>
        <v>0.99459152113523741</v>
      </c>
    </row>
    <row r="39" spans="1:5" x14ac:dyDescent="0.3">
      <c r="A39">
        <v>331</v>
      </c>
      <c r="B39">
        <v>169.5</v>
      </c>
      <c r="C39">
        <f t="shared" si="0"/>
        <v>0.37916666666666665</v>
      </c>
      <c r="D39">
        <f t="shared" si="1"/>
        <v>16.878209312004397</v>
      </c>
      <c r="E39">
        <f t="shared" si="2"/>
        <v>0.99283584188261165</v>
      </c>
    </row>
    <row r="40" spans="1:5" x14ac:dyDescent="0.3">
      <c r="A40">
        <v>332</v>
      </c>
      <c r="B40">
        <v>168</v>
      </c>
      <c r="C40">
        <f t="shared" si="0"/>
        <v>0.38333333333333336</v>
      </c>
      <c r="D40">
        <f t="shared" si="1"/>
        <v>16.803361008336118</v>
      </c>
      <c r="E40">
        <f t="shared" si="2"/>
        <v>0.98843300049035987</v>
      </c>
    </row>
    <row r="41" spans="1:5" x14ac:dyDescent="0.3">
      <c r="A41">
        <v>333</v>
      </c>
      <c r="B41">
        <v>166.6</v>
      </c>
      <c r="C41">
        <f t="shared" si="0"/>
        <v>0.38750000000000001</v>
      </c>
      <c r="D41">
        <f t="shared" si="1"/>
        <v>16.733200530681511</v>
      </c>
      <c r="E41">
        <f t="shared" si="2"/>
        <v>0.9843059135695007</v>
      </c>
    </row>
    <row r="42" spans="1:5" x14ac:dyDescent="0.3">
      <c r="A42">
        <v>334</v>
      </c>
      <c r="B42">
        <v>165.8</v>
      </c>
      <c r="C42">
        <f t="shared" si="0"/>
        <v>0.39166666666666666</v>
      </c>
      <c r="D42">
        <f t="shared" si="1"/>
        <v>16.692976432765786</v>
      </c>
      <c r="E42">
        <f t="shared" si="2"/>
        <v>0.98193979016269328</v>
      </c>
    </row>
    <row r="43" spans="1:5" x14ac:dyDescent="0.3">
      <c r="A43">
        <v>335</v>
      </c>
      <c r="B43">
        <v>164.4</v>
      </c>
      <c r="C43">
        <f t="shared" si="0"/>
        <v>0.39583333333333331</v>
      </c>
      <c r="D43">
        <f t="shared" si="1"/>
        <v>16.622350044695949</v>
      </c>
      <c r="E43">
        <f t="shared" si="2"/>
        <v>0.97778529674682058</v>
      </c>
    </row>
    <row r="44" spans="1:5" x14ac:dyDescent="0.3">
      <c r="A44">
        <v>336</v>
      </c>
      <c r="B44">
        <v>162.1</v>
      </c>
      <c r="C44">
        <f t="shared" si="0"/>
        <v>0.4</v>
      </c>
      <c r="D44">
        <f t="shared" si="1"/>
        <v>16.505664930257005</v>
      </c>
      <c r="E44">
        <f t="shared" si="2"/>
        <v>0.97092146648570621</v>
      </c>
    </row>
    <row r="45" spans="1:5" x14ac:dyDescent="0.3">
      <c r="A45">
        <v>337</v>
      </c>
      <c r="B45">
        <v>160.4</v>
      </c>
      <c r="C45">
        <f t="shared" si="0"/>
        <v>0.40416666666666667</v>
      </c>
      <c r="D45">
        <f t="shared" si="1"/>
        <v>16.418886440096145</v>
      </c>
      <c r="E45">
        <f t="shared" si="2"/>
        <v>0.9658168494174203</v>
      </c>
    </row>
    <row r="46" spans="1:5" x14ac:dyDescent="0.3">
      <c r="A46">
        <v>338</v>
      </c>
      <c r="B46">
        <v>158.80000000000001</v>
      </c>
      <c r="C46">
        <f t="shared" si="0"/>
        <v>0.40833333333333333</v>
      </c>
      <c r="D46">
        <f t="shared" si="1"/>
        <v>16.336791493513072</v>
      </c>
      <c r="E46">
        <f t="shared" si="2"/>
        <v>0.96098773491253364</v>
      </c>
    </row>
    <row r="47" spans="1:5" x14ac:dyDescent="0.3">
      <c r="A47">
        <v>339</v>
      </c>
      <c r="B47">
        <v>157.9</v>
      </c>
      <c r="C47">
        <f t="shared" si="0"/>
        <v>0.41249999999999998</v>
      </c>
      <c r="D47">
        <f t="shared" si="1"/>
        <v>16.290431279143725</v>
      </c>
      <c r="E47">
        <f t="shared" si="2"/>
        <v>0.9582606634790426</v>
      </c>
    </row>
    <row r="48" spans="1:5" x14ac:dyDescent="0.3">
      <c r="A48">
        <v>340</v>
      </c>
      <c r="B48">
        <v>156.19999999999999</v>
      </c>
      <c r="C48">
        <f t="shared" si="0"/>
        <v>0.41666666666666669</v>
      </c>
      <c r="D48">
        <f t="shared" si="1"/>
        <v>16.202500066451513</v>
      </c>
      <c r="E48">
        <f t="shared" si="2"/>
        <v>0.95308823920303021</v>
      </c>
    </row>
    <row r="49" spans="1:5" x14ac:dyDescent="0.3">
      <c r="A49">
        <v>341</v>
      </c>
      <c r="B49">
        <v>155.1</v>
      </c>
      <c r="C49">
        <f t="shared" si="0"/>
        <v>0.42083333333333334</v>
      </c>
      <c r="D49">
        <f t="shared" si="1"/>
        <v>16.145348212645121</v>
      </c>
      <c r="E49">
        <f t="shared" si="2"/>
        <v>0.94972636544971301</v>
      </c>
    </row>
    <row r="50" spans="1:5" x14ac:dyDescent="0.3">
      <c r="A50">
        <v>342</v>
      </c>
      <c r="B50">
        <v>154.5</v>
      </c>
      <c r="C50">
        <f t="shared" si="0"/>
        <v>0.42499999999999999</v>
      </c>
      <c r="D50">
        <f t="shared" si="1"/>
        <v>16.11408903867105</v>
      </c>
      <c r="E50">
        <f t="shared" si="2"/>
        <v>0.94788759051006177</v>
      </c>
    </row>
    <row r="51" spans="1:5" x14ac:dyDescent="0.3">
      <c r="A51">
        <v>343</v>
      </c>
      <c r="B51">
        <v>154.1</v>
      </c>
      <c r="C51">
        <f t="shared" si="0"/>
        <v>0.42916666666666664</v>
      </c>
      <c r="D51">
        <f t="shared" si="1"/>
        <v>16.093215857579722</v>
      </c>
      <c r="E51">
        <f t="shared" si="2"/>
        <v>0.94665975632821897</v>
      </c>
    </row>
    <row r="52" spans="1:5" x14ac:dyDescent="0.3">
      <c r="A52">
        <v>344</v>
      </c>
      <c r="B52">
        <v>154.69999999999999</v>
      </c>
      <c r="C52">
        <f t="shared" si="0"/>
        <v>0.43333333333333335</v>
      </c>
      <c r="D52">
        <f t="shared" si="1"/>
        <v>16.124515496597098</v>
      </c>
      <c r="E52">
        <f t="shared" si="2"/>
        <v>0.9485009115645352</v>
      </c>
    </row>
    <row r="53" spans="1:5" x14ac:dyDescent="0.3">
      <c r="A53">
        <v>345</v>
      </c>
      <c r="B53">
        <v>155.80000000000001</v>
      </c>
      <c r="C53">
        <f t="shared" si="0"/>
        <v>0.4375</v>
      </c>
      <c r="D53">
        <f t="shared" si="1"/>
        <v>16.181740929078007</v>
      </c>
      <c r="E53">
        <f t="shared" si="2"/>
        <v>0.95186711347517683</v>
      </c>
    </row>
    <row r="54" spans="1:5" x14ac:dyDescent="0.3">
      <c r="A54">
        <v>346</v>
      </c>
      <c r="B54">
        <v>156.4</v>
      </c>
      <c r="C54">
        <f t="shared" si="0"/>
        <v>0.44166666666666665</v>
      </c>
      <c r="D54">
        <f t="shared" si="1"/>
        <v>16.212869667555552</v>
      </c>
      <c r="E54">
        <f t="shared" si="2"/>
        <v>0.95369821573856184</v>
      </c>
    </row>
    <row r="55" spans="1:5" x14ac:dyDescent="0.3">
      <c r="A55">
        <v>347</v>
      </c>
      <c r="B55">
        <v>158.5</v>
      </c>
      <c r="C55">
        <f t="shared" si="0"/>
        <v>0.44583333333333336</v>
      </c>
      <c r="D55">
        <f t="shared" si="1"/>
        <v>16.321352720343029</v>
      </c>
      <c r="E55">
        <f t="shared" si="2"/>
        <v>0.96007957178488401</v>
      </c>
    </row>
    <row r="56" spans="1:5" x14ac:dyDescent="0.3">
      <c r="A56">
        <v>348</v>
      </c>
      <c r="B56">
        <v>160.1</v>
      </c>
      <c r="C56">
        <f t="shared" si="0"/>
        <v>0.45</v>
      </c>
      <c r="D56">
        <f t="shared" si="1"/>
        <v>16.403524933748258</v>
      </c>
      <c r="E56">
        <f t="shared" si="2"/>
        <v>0.96491323139695639</v>
      </c>
    </row>
    <row r="57" spans="1:5" x14ac:dyDescent="0.3">
      <c r="A57">
        <v>349</v>
      </c>
      <c r="B57">
        <v>162.9</v>
      </c>
      <c r="C57">
        <f t="shared" si="0"/>
        <v>0.45416666666666666</v>
      </c>
      <c r="D57">
        <f t="shared" si="1"/>
        <v>16.546344387962016</v>
      </c>
      <c r="E57">
        <f t="shared" si="2"/>
        <v>0.97331437576247148</v>
      </c>
    </row>
    <row r="58" spans="1:5" x14ac:dyDescent="0.3">
      <c r="A58">
        <v>350</v>
      </c>
      <c r="B58">
        <v>164.5</v>
      </c>
      <c r="C58">
        <f t="shared" si="0"/>
        <v>0.45833333333333331</v>
      </c>
      <c r="D58">
        <f t="shared" si="1"/>
        <v>16.627404735414789</v>
      </c>
      <c r="E58">
        <f t="shared" si="2"/>
        <v>0.97808263149498753</v>
      </c>
    </row>
    <row r="59" spans="1:5" x14ac:dyDescent="0.3">
      <c r="A59">
        <v>351</v>
      </c>
      <c r="B59">
        <v>166</v>
      </c>
      <c r="C59">
        <f t="shared" si="0"/>
        <v>0.46250000000000002</v>
      </c>
      <c r="D59">
        <f t="shared" si="1"/>
        <v>16.703041538553855</v>
      </c>
      <c r="E59">
        <f t="shared" si="2"/>
        <v>0.98253185520905029</v>
      </c>
    </row>
    <row r="60" spans="1:5" x14ac:dyDescent="0.3">
      <c r="A60">
        <v>352</v>
      </c>
      <c r="B60">
        <v>168.1</v>
      </c>
      <c r="C60">
        <f t="shared" si="0"/>
        <v>0.46666666666666667</v>
      </c>
      <c r="D60">
        <f t="shared" si="1"/>
        <v>16.808361264661148</v>
      </c>
      <c r="E60">
        <f t="shared" si="2"/>
        <v>0.98872713321536165</v>
      </c>
    </row>
    <row r="61" spans="1:5" x14ac:dyDescent="0.3">
      <c r="A61">
        <v>353</v>
      </c>
      <c r="B61">
        <v>168.6</v>
      </c>
      <c r="C61">
        <f t="shared" si="0"/>
        <v>0.47083333333333333</v>
      </c>
      <c r="D61">
        <f t="shared" si="1"/>
        <v>16.833340266798363</v>
      </c>
      <c r="E61">
        <f t="shared" si="2"/>
        <v>0.99019648628225665</v>
      </c>
    </row>
    <row r="62" spans="1:5" x14ac:dyDescent="0.3">
      <c r="A62">
        <v>354</v>
      </c>
      <c r="B62">
        <v>170.1</v>
      </c>
      <c r="C62">
        <f t="shared" si="0"/>
        <v>0.47499999999999998</v>
      </c>
      <c r="D62">
        <f t="shared" si="1"/>
        <v>16.908055859299036</v>
      </c>
      <c r="E62">
        <f t="shared" si="2"/>
        <v>0.99459152113523741</v>
      </c>
    </row>
    <row r="63" spans="1:5" x14ac:dyDescent="0.3">
      <c r="A63">
        <v>355</v>
      </c>
      <c r="B63">
        <v>171</v>
      </c>
      <c r="C63">
        <f t="shared" si="0"/>
        <v>0.47916666666666669</v>
      </c>
      <c r="D63">
        <f t="shared" si="1"/>
        <v>16.952727154743961</v>
      </c>
      <c r="E63">
        <f t="shared" si="2"/>
        <v>0.99721924439670362</v>
      </c>
    </row>
    <row r="64" spans="1:5" x14ac:dyDescent="0.3">
      <c r="A64">
        <v>356</v>
      </c>
      <c r="B64">
        <v>172.1</v>
      </c>
      <c r="C64">
        <f t="shared" si="0"/>
        <v>0.48333333333333334</v>
      </c>
      <c r="D64">
        <f t="shared" si="1"/>
        <v>17.00716606254527</v>
      </c>
      <c r="E64">
        <f t="shared" si="2"/>
        <v>1.0004215330908983</v>
      </c>
    </row>
    <row r="65" spans="1:5" x14ac:dyDescent="0.3">
      <c r="A65">
        <v>357</v>
      </c>
      <c r="B65">
        <v>172.5</v>
      </c>
      <c r="C65">
        <f t="shared" si="0"/>
        <v>0.48749999999999999</v>
      </c>
      <c r="D65">
        <f t="shared" si="1"/>
        <v>17.026918875314895</v>
      </c>
      <c r="E65">
        <f t="shared" si="2"/>
        <v>1.0015834632538174</v>
      </c>
    </row>
    <row r="66" spans="1:5" x14ac:dyDescent="0.3">
      <c r="A66">
        <v>358</v>
      </c>
      <c r="B66">
        <v>172.8</v>
      </c>
      <c r="C66">
        <f t="shared" si="0"/>
        <v>0.49166666666666664</v>
      </c>
      <c r="D66">
        <f t="shared" si="1"/>
        <v>17.041718459921434</v>
      </c>
      <c r="E66">
        <f t="shared" si="2"/>
        <v>1.0024540270542019</v>
      </c>
    </row>
    <row r="67" spans="1:5" x14ac:dyDescent="0.3">
      <c r="A67">
        <v>359</v>
      </c>
      <c r="B67">
        <v>172.9</v>
      </c>
      <c r="C67">
        <f t="shared" ref="C67:C82" si="3">(A67-240)/240</f>
        <v>0.49583333333333335</v>
      </c>
      <c r="D67">
        <f t="shared" si="1"/>
        <v>17.04664879951827</v>
      </c>
      <c r="E67">
        <f t="shared" si="2"/>
        <v>1.0027440470304865</v>
      </c>
    </row>
    <row r="68" spans="1:5" x14ac:dyDescent="0.3">
      <c r="A68">
        <v>360</v>
      </c>
      <c r="B68">
        <v>172</v>
      </c>
      <c r="C68">
        <f t="shared" si="3"/>
        <v>0.5</v>
      </c>
      <c r="D68">
        <f t="shared" si="1"/>
        <v>17.002224273667867</v>
      </c>
      <c r="E68">
        <f t="shared" si="2"/>
        <v>1.0001308396275217</v>
      </c>
    </row>
    <row r="69" spans="1:5" x14ac:dyDescent="0.3">
      <c r="A69">
        <v>361</v>
      </c>
      <c r="B69">
        <v>173</v>
      </c>
      <c r="C69">
        <f t="shared" si="3"/>
        <v>0.50416666666666665</v>
      </c>
      <c r="D69">
        <f t="shared" si="1"/>
        <v>17.051577713543356</v>
      </c>
      <c r="E69">
        <f t="shared" si="2"/>
        <v>1.0030339831496091</v>
      </c>
    </row>
    <row r="70" spans="1:5" x14ac:dyDescent="0.3">
      <c r="A70">
        <v>362</v>
      </c>
      <c r="B70">
        <v>172.8</v>
      </c>
      <c r="C70">
        <f t="shared" si="3"/>
        <v>0.5083333333333333</v>
      </c>
      <c r="D70">
        <f t="shared" si="1"/>
        <v>17.041718459921434</v>
      </c>
      <c r="E70">
        <f t="shared" si="2"/>
        <v>1.0024540270542019</v>
      </c>
    </row>
    <row r="71" spans="1:5" x14ac:dyDescent="0.3">
      <c r="A71">
        <v>363</v>
      </c>
      <c r="B71">
        <v>173.1</v>
      </c>
      <c r="C71">
        <f t="shared" si="3"/>
        <v>0.51249999999999996</v>
      </c>
      <c r="D71">
        <f t="shared" si="1"/>
        <v>17.056505203232554</v>
      </c>
      <c r="E71">
        <f t="shared" si="2"/>
        <v>1.003323835484268</v>
      </c>
    </row>
    <row r="72" spans="1:5" x14ac:dyDescent="0.3">
      <c r="A72">
        <v>364</v>
      </c>
      <c r="B72">
        <v>173</v>
      </c>
      <c r="C72">
        <f t="shared" si="3"/>
        <v>0.51666666666666672</v>
      </c>
      <c r="D72">
        <f t="shared" si="1"/>
        <v>17.051577713543356</v>
      </c>
      <c r="E72">
        <f t="shared" si="2"/>
        <v>1.0030339831496091</v>
      </c>
    </row>
    <row r="73" spans="1:5" x14ac:dyDescent="0.3">
      <c r="A73">
        <v>365</v>
      </c>
      <c r="B73">
        <v>173</v>
      </c>
      <c r="C73">
        <f t="shared" si="3"/>
        <v>0.52083333333333337</v>
      </c>
      <c r="D73">
        <f t="shared" si="1"/>
        <v>17.051577713543356</v>
      </c>
      <c r="E73">
        <f t="shared" si="2"/>
        <v>1.0030339831496091</v>
      </c>
    </row>
    <row r="74" spans="1:5" x14ac:dyDescent="0.3">
      <c r="A74">
        <v>370</v>
      </c>
      <c r="B74">
        <v>173.1</v>
      </c>
      <c r="C74">
        <f t="shared" si="3"/>
        <v>0.54166666666666663</v>
      </c>
      <c r="D74">
        <f t="shared" si="1"/>
        <v>17.056505203232554</v>
      </c>
      <c r="E74">
        <f t="shared" si="2"/>
        <v>1.003323835484268</v>
      </c>
    </row>
    <row r="75" spans="1:5" x14ac:dyDescent="0.3">
      <c r="A75">
        <v>375</v>
      </c>
      <c r="B75">
        <v>172.9</v>
      </c>
      <c r="C75">
        <f t="shared" si="3"/>
        <v>0.5625</v>
      </c>
      <c r="D75">
        <f t="shared" si="1"/>
        <v>17.04664879951827</v>
      </c>
      <c r="E75">
        <f t="shared" si="2"/>
        <v>1.0027440470304865</v>
      </c>
    </row>
    <row r="76" spans="1:5" x14ac:dyDescent="0.3">
      <c r="A76">
        <v>380</v>
      </c>
      <c r="B76">
        <v>173.1</v>
      </c>
      <c r="C76">
        <f t="shared" si="3"/>
        <v>0.58333333333333337</v>
      </c>
      <c r="D76">
        <f t="shared" si="1"/>
        <v>17.056505203232554</v>
      </c>
      <c r="E76">
        <f t="shared" si="2"/>
        <v>1.003323835484268</v>
      </c>
    </row>
    <row r="77" spans="1:5" x14ac:dyDescent="0.3">
      <c r="A77">
        <v>385</v>
      </c>
      <c r="B77">
        <v>173</v>
      </c>
      <c r="C77">
        <f t="shared" si="3"/>
        <v>0.60416666666666663</v>
      </c>
      <c r="D77">
        <f t="shared" si="1"/>
        <v>17.051577713543356</v>
      </c>
      <c r="E77">
        <f t="shared" si="2"/>
        <v>1.0030339831496091</v>
      </c>
    </row>
    <row r="78" spans="1:5" x14ac:dyDescent="0.3">
      <c r="A78">
        <v>390</v>
      </c>
      <c r="B78">
        <v>172.8</v>
      </c>
      <c r="C78">
        <f t="shared" si="3"/>
        <v>0.625</v>
      </c>
      <c r="D78">
        <f t="shared" si="1"/>
        <v>17.041718459921434</v>
      </c>
      <c r="E78">
        <f t="shared" si="2"/>
        <v>1.0024540270542019</v>
      </c>
    </row>
    <row r="79" spans="1:5" x14ac:dyDescent="0.3">
      <c r="A79">
        <v>395</v>
      </c>
      <c r="B79">
        <v>173.2</v>
      </c>
      <c r="C79">
        <f t="shared" si="3"/>
        <v>0.64583333333333337</v>
      </c>
      <c r="D79">
        <f t="shared" si="1"/>
        <v>17.061431269819948</v>
      </c>
      <c r="E79">
        <f t="shared" si="2"/>
        <v>1.0036136041070558</v>
      </c>
    </row>
    <row r="80" spans="1:5" x14ac:dyDescent="0.3">
      <c r="A80">
        <v>400</v>
      </c>
      <c r="B80">
        <v>173.4</v>
      </c>
      <c r="C80">
        <f t="shared" si="3"/>
        <v>0.66666666666666663</v>
      </c>
      <c r="D80">
        <f t="shared" si="1"/>
        <v>17.071279138616749</v>
      </c>
      <c r="E80">
        <f t="shared" si="2"/>
        <v>1.0041928905068676</v>
      </c>
    </row>
    <row r="81" spans="1:5" x14ac:dyDescent="0.3">
      <c r="A81">
        <v>405</v>
      </c>
      <c r="B81">
        <v>173</v>
      </c>
      <c r="C81">
        <f t="shared" si="3"/>
        <v>0.6875</v>
      </c>
      <c r="D81">
        <f t="shared" si="1"/>
        <v>17.051577713543356</v>
      </c>
      <c r="E81">
        <f t="shared" si="2"/>
        <v>1.0030339831496091</v>
      </c>
    </row>
    <row r="82" spans="1:5" x14ac:dyDescent="0.3">
      <c r="A82">
        <v>410</v>
      </c>
      <c r="B82">
        <v>173.2</v>
      </c>
      <c r="C82">
        <f t="shared" si="3"/>
        <v>0.70833333333333337</v>
      </c>
      <c r="D82">
        <f t="shared" si="1"/>
        <v>17.061431269819948</v>
      </c>
      <c r="E82">
        <f t="shared" si="2"/>
        <v>1.0036136041070558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</vt:lpstr>
      <vt:lpstr>3</vt:lpstr>
      <vt:lpstr>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bunny katumala</dc:creator>
  <cp:lastModifiedBy>alvin bunny katumala</cp:lastModifiedBy>
  <dcterms:created xsi:type="dcterms:W3CDTF">2024-09-13T09:01:00Z</dcterms:created>
  <dcterms:modified xsi:type="dcterms:W3CDTF">2024-09-22T17:18:05Z</dcterms:modified>
</cp:coreProperties>
</file>