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v\Downloads\"/>
    </mc:Choice>
  </mc:AlternateContent>
  <xr:revisionPtr revIDLastSave="0" documentId="13_ncr:1_{286C6C3C-E970-4717-89DB-21536D60E35A}" xr6:coauthVersionLast="47" xr6:coauthVersionMax="47" xr10:uidLastSave="{00000000-0000-0000-0000-000000000000}"/>
  <bookViews>
    <workbookView xWindow="-110" yWindow="-110" windowWidth="19420" windowHeight="10300" activeTab="6" xr2:uid="{1DF30D6E-0BCB-4A57-9D72-8A6026CE8ED1}"/>
  </bookViews>
  <sheets>
    <sheet name="angle 0" sheetId="1" r:id="rId1"/>
    <sheet name="angle 1" sheetId="2" r:id="rId2"/>
    <sheet name="angle 3" sheetId="3" r:id="rId3"/>
    <sheet name="angle 5" sheetId="4" r:id="rId4"/>
    <sheet name="angle -1" sheetId="5" r:id="rId5"/>
    <sheet name="angle -3" sheetId="6" r:id="rId6"/>
    <sheet name="angle -5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4" l="1"/>
  <c r="E14" i="4"/>
  <c r="E5" i="4"/>
  <c r="E7" i="4"/>
  <c r="E8" i="4"/>
  <c r="E9" i="4"/>
  <c r="E10" i="4"/>
  <c r="E11" i="4"/>
  <c r="E12" i="4"/>
  <c r="E13" i="4"/>
  <c r="E3" i="3"/>
  <c r="E4" i="3"/>
  <c r="E5" i="3"/>
  <c r="E6" i="3"/>
  <c r="E7" i="3"/>
  <c r="E8" i="3"/>
  <c r="E9" i="3"/>
  <c r="E10" i="3"/>
  <c r="E11" i="3"/>
  <c r="E12" i="3"/>
  <c r="E13" i="3"/>
  <c r="E14" i="3"/>
  <c r="E2" i="3"/>
  <c r="B3" i="2"/>
  <c r="B4" i="2"/>
  <c r="B6" i="2"/>
  <c r="B8" i="2"/>
  <c r="B10" i="2"/>
  <c r="B11" i="2"/>
  <c r="B13" i="2"/>
  <c r="B14" i="2"/>
  <c r="B15" i="2"/>
  <c r="B16" i="2"/>
  <c r="E2" i="2"/>
  <c r="E3" i="2"/>
  <c r="E5" i="2"/>
  <c r="E7" i="2"/>
  <c r="E8" i="2"/>
  <c r="E10" i="2"/>
  <c r="E11" i="2"/>
  <c r="E12" i="2"/>
  <c r="E13" i="2"/>
  <c r="E14" i="2"/>
  <c r="Y14" i="1"/>
  <c r="Y13" i="1"/>
  <c r="Y12" i="1"/>
  <c r="Y11" i="1"/>
  <c r="Y10" i="1"/>
  <c r="Y9" i="1"/>
  <c r="Y7" i="1"/>
  <c r="Y5" i="1"/>
  <c r="Y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B2" i="1"/>
  <c r="A2" i="1"/>
  <c r="C2" i="1" l="1"/>
</calcChain>
</file>

<file path=xl/sharedStrings.xml><?xml version="1.0" encoding="utf-8"?>
<sst xmlns="http://schemas.openxmlformats.org/spreadsheetml/2006/main" count="230" uniqueCount="50">
  <si>
    <t>Temp</t>
  </si>
  <si>
    <t>Atmosperic Pressure</t>
  </si>
  <si>
    <t>density</t>
  </si>
  <si>
    <t>delta p</t>
  </si>
  <si>
    <t>1 top p</t>
  </si>
  <si>
    <t>2 top p</t>
  </si>
  <si>
    <t>3 top p</t>
  </si>
  <si>
    <t>4 top p</t>
  </si>
  <si>
    <t>5 top p</t>
  </si>
  <si>
    <t>6 top p</t>
  </si>
  <si>
    <t>7 top p</t>
  </si>
  <si>
    <t>8 top p</t>
  </si>
  <si>
    <t>9 top p</t>
  </si>
  <si>
    <t>10 top p</t>
  </si>
  <si>
    <t>11 top p</t>
  </si>
  <si>
    <t>12 top p</t>
  </si>
  <si>
    <t>13 top p</t>
  </si>
  <si>
    <t>14 top p</t>
  </si>
  <si>
    <t>15 top p</t>
  </si>
  <si>
    <t>top p 1</t>
  </si>
  <si>
    <t>top p 2</t>
  </si>
  <si>
    <t>top p 3</t>
  </si>
  <si>
    <t>top p 4</t>
  </si>
  <si>
    <t>top p 5</t>
  </si>
  <si>
    <t>top p 6</t>
  </si>
  <si>
    <t>top p 7</t>
  </si>
  <si>
    <t>top p 8</t>
  </si>
  <si>
    <t>top p 9</t>
  </si>
  <si>
    <t>top p 10</t>
  </si>
  <si>
    <t>top p 11</t>
  </si>
  <si>
    <t>top p 12</t>
  </si>
  <si>
    <t>top p 13</t>
  </si>
  <si>
    <t>top p 14</t>
  </si>
  <si>
    <t>top p 15</t>
  </si>
  <si>
    <t>bottom p 21</t>
  </si>
  <si>
    <t>bottom p 22</t>
  </si>
  <si>
    <t>bottom p 23</t>
  </si>
  <si>
    <t>bottom p 24</t>
  </si>
  <si>
    <t>bottom p 25</t>
  </si>
  <si>
    <t>bottom p 26</t>
  </si>
  <si>
    <t>bottom p 27</t>
  </si>
  <si>
    <t>bottom p 28</t>
  </si>
  <si>
    <t>bottom p 29</t>
  </si>
  <si>
    <t>bottom p 30</t>
  </si>
  <si>
    <t>bottom p 31</t>
  </si>
  <si>
    <t>bottom p 32</t>
  </si>
  <si>
    <t>bottom p 33</t>
  </si>
  <si>
    <t>pressure values b</t>
  </si>
  <si>
    <t>pressure values 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</si>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</sst>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5CB8-6C27-4D0B-AB57-533FBD5B4A15}">
  <dimension ref="A1:Y16"/>
  <sheetViews>
    <sheetView topLeftCell="N1" workbookViewId="0">
      <selection activeCell="V2" sqref="V2"/>
    </sheetView>
  </sheetViews>
  <sheetFormatPr defaultRowHeight="15.5" x14ac:dyDescent="0.35"/>
  <cols>
    <col min="2" max="2" width="17.58203125" bestFit="1" customWidth="1"/>
    <col min="21" max="21" width="13.5" bestFit="1" customWidth="1"/>
    <col min="22" max="25" width="13.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48</v>
      </c>
      <c r="X1" t="s">
        <v>47</v>
      </c>
    </row>
    <row r="2" spans="1:25" x14ac:dyDescent="0.35">
      <c r="A2">
        <f>27+273.15</f>
        <v>300.14999999999998</v>
      </c>
      <c r="B2">
        <f>1.0001*10^5</f>
        <v>100010</v>
      </c>
      <c r="C2">
        <f>B2/(278*A2)</f>
        <v>1.1985613907674459</v>
      </c>
      <c r="D2">
        <v>173.3</v>
      </c>
      <c r="E2">
        <f>(174.5+172.2)/2</f>
        <v>173.35</v>
      </c>
      <c r="F2">
        <f>(-93.6-94.9)/2</f>
        <v>-94.25</v>
      </c>
      <c r="G2">
        <f>(-91-91.7)/2</f>
        <v>-91.35</v>
      </c>
      <c r="H2">
        <f>(-78)</f>
        <v>-78</v>
      </c>
      <c r="I2">
        <f>(-70.1-70.8)/2</f>
        <v>-70.449999999999989</v>
      </c>
      <c r="J2">
        <f>(-63.4-64.4)/2</f>
        <v>-63.900000000000006</v>
      </c>
      <c r="K2">
        <f>(-58)</f>
        <v>-58</v>
      </c>
      <c r="L2">
        <f>-50.5</f>
        <v>-50.5</v>
      </c>
      <c r="M2">
        <f>(-42.7-43.3)/2</f>
        <v>-43</v>
      </c>
      <c r="N2">
        <f>-36.75</f>
        <v>-36.75</v>
      </c>
      <c r="O2">
        <f>(-30.5-31.5)/2</f>
        <v>-31</v>
      </c>
      <c r="P2">
        <f>(-25.2-24.2)/2</f>
        <v>-24.7</v>
      </c>
      <c r="Q2">
        <f>-10</f>
        <v>-10</v>
      </c>
      <c r="R2">
        <f>6</f>
        <v>6</v>
      </c>
      <c r="S2">
        <v>35.200000000000003</v>
      </c>
      <c r="U2" t="s">
        <v>19</v>
      </c>
      <c r="V2">
        <v>173.35</v>
      </c>
      <c r="X2" t="s">
        <v>34</v>
      </c>
      <c r="Y2">
        <f>(16.6+17.3)/2</f>
        <v>16.950000000000003</v>
      </c>
    </row>
    <row r="3" spans="1:25" x14ac:dyDescent="0.35">
      <c r="U3" t="s">
        <v>20</v>
      </c>
      <c r="V3">
        <v>-94.25</v>
      </c>
      <c r="X3" t="s">
        <v>35</v>
      </c>
      <c r="Y3">
        <v>19</v>
      </c>
    </row>
    <row r="4" spans="1:25" x14ac:dyDescent="0.35">
      <c r="U4" t="s">
        <v>21</v>
      </c>
      <c r="V4">
        <v>-91.35</v>
      </c>
      <c r="X4" t="s">
        <v>36</v>
      </c>
      <c r="Y4">
        <v>20</v>
      </c>
    </row>
    <row r="5" spans="1:25" x14ac:dyDescent="0.35">
      <c r="U5" t="s">
        <v>22</v>
      </c>
      <c r="V5">
        <v>-78</v>
      </c>
      <c r="X5" t="s">
        <v>37</v>
      </c>
      <c r="Y5">
        <f>(24.4+24.9)/2</f>
        <v>24.65</v>
      </c>
    </row>
    <row r="6" spans="1:25" x14ac:dyDescent="0.35">
      <c r="U6" t="s">
        <v>23</v>
      </c>
      <c r="V6">
        <v>-70.45</v>
      </c>
      <c r="X6" t="s">
        <v>38</v>
      </c>
      <c r="Y6">
        <v>26.3</v>
      </c>
    </row>
    <row r="7" spans="1:25" x14ac:dyDescent="0.35">
      <c r="U7" t="s">
        <v>24</v>
      </c>
      <c r="V7">
        <v>-63.9</v>
      </c>
      <c r="X7" t="s">
        <v>39</v>
      </c>
      <c r="Y7">
        <f>(28.1+28.8)/2</f>
        <v>28.450000000000003</v>
      </c>
    </row>
    <row r="8" spans="1:25" x14ac:dyDescent="0.35">
      <c r="U8" t="s">
        <v>25</v>
      </c>
      <c r="V8">
        <v>-58</v>
      </c>
      <c r="X8" t="s">
        <v>40</v>
      </c>
      <c r="Y8">
        <v>30</v>
      </c>
    </row>
    <row r="9" spans="1:25" x14ac:dyDescent="0.35">
      <c r="U9" t="s">
        <v>26</v>
      </c>
      <c r="V9">
        <v>-50.5</v>
      </c>
      <c r="X9" t="s">
        <v>41</v>
      </c>
      <c r="Y9">
        <f>(31.1+31.8)/2</f>
        <v>31.450000000000003</v>
      </c>
    </row>
    <row r="10" spans="1:25" x14ac:dyDescent="0.35">
      <c r="U10" t="s">
        <v>27</v>
      </c>
      <c r="V10">
        <v>-43</v>
      </c>
      <c r="X10" t="s">
        <v>42</v>
      </c>
      <c r="Y10">
        <f>(33+32.2)/2</f>
        <v>32.6</v>
      </c>
    </row>
    <row r="11" spans="1:25" x14ac:dyDescent="0.35">
      <c r="U11" t="s">
        <v>28</v>
      </c>
      <c r="V11">
        <v>-36.75</v>
      </c>
      <c r="X11" t="s">
        <v>43</v>
      </c>
      <c r="Y11">
        <f>(33.2+33.9)/2</f>
        <v>33.549999999999997</v>
      </c>
    </row>
    <row r="12" spans="1:25" x14ac:dyDescent="0.35">
      <c r="U12" t="s">
        <v>29</v>
      </c>
      <c r="V12">
        <v>-31</v>
      </c>
      <c r="X12" t="s">
        <v>44</v>
      </c>
      <c r="Y12">
        <f>(33.5+34.5)/2</f>
        <v>34</v>
      </c>
    </row>
    <row r="13" spans="1:25" x14ac:dyDescent="0.35">
      <c r="U13" t="s">
        <v>30</v>
      </c>
      <c r="V13">
        <v>-24.7</v>
      </c>
      <c r="X13" t="s">
        <v>45</v>
      </c>
      <c r="Y13">
        <f>(34.1+34.8)/2</f>
        <v>34.450000000000003</v>
      </c>
    </row>
    <row r="14" spans="1:25" x14ac:dyDescent="0.35">
      <c r="U14" t="s">
        <v>31</v>
      </c>
      <c r="V14">
        <v>-10</v>
      </c>
      <c r="X14" t="s">
        <v>46</v>
      </c>
      <c r="Y14">
        <f>(34.7+35)/2</f>
        <v>34.85</v>
      </c>
    </row>
    <row r="15" spans="1:25" x14ac:dyDescent="0.35">
      <c r="U15" t="s">
        <v>32</v>
      </c>
      <c r="V15">
        <v>6</v>
      </c>
    </row>
    <row r="16" spans="1:25" x14ac:dyDescent="0.35">
      <c r="U16" t="s">
        <v>33</v>
      </c>
      <c r="V16">
        <v>35.200000000000003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E928-CA8E-4127-A0B8-19B597F7B818}">
  <dimension ref="A1:E16"/>
  <sheetViews>
    <sheetView workbookViewId="0">
      <selection activeCell="B2" sqref="B2"/>
    </sheetView>
  </sheetViews>
  <sheetFormatPr defaultRowHeight="15.5" x14ac:dyDescent="0.35"/>
  <cols>
    <col min="1" max="1" width="14.58203125" bestFit="1" customWidth="1"/>
    <col min="2" max="2" width="15" bestFit="1" customWidth="1"/>
    <col min="4" max="4" width="15" bestFit="1" customWidth="1"/>
  </cols>
  <sheetData>
    <row r="1" spans="1:5" x14ac:dyDescent="0.35">
      <c r="A1" t="s">
        <v>48</v>
      </c>
      <c r="D1" t="s">
        <v>47</v>
      </c>
    </row>
    <row r="2" spans="1:5" x14ac:dyDescent="0.35">
      <c r="A2" t="s">
        <v>19</v>
      </c>
      <c r="B2">
        <v>-82</v>
      </c>
      <c r="D2" t="s">
        <v>34</v>
      </c>
      <c r="E2">
        <f>(150.1+151.4)/2</f>
        <v>150.75</v>
      </c>
    </row>
    <row r="3" spans="1:5" x14ac:dyDescent="0.35">
      <c r="A3" t="s">
        <v>20</v>
      </c>
      <c r="B3">
        <f>(-325.4-330.3)/2</f>
        <v>-327.85</v>
      </c>
      <c r="D3" t="s">
        <v>35</v>
      </c>
      <c r="E3">
        <f>(124.2+126)/2</f>
        <v>125.1</v>
      </c>
    </row>
    <row r="4" spans="1:5" x14ac:dyDescent="0.35">
      <c r="A4" t="s">
        <v>21</v>
      </c>
      <c r="B4">
        <f>(-160.5-158.9)/2</f>
        <v>-159.69999999999999</v>
      </c>
      <c r="D4" t="s">
        <v>36</v>
      </c>
      <c r="E4">
        <v>110</v>
      </c>
    </row>
    <row r="5" spans="1:5" x14ac:dyDescent="0.35">
      <c r="A5" t="s">
        <v>22</v>
      </c>
      <c r="B5">
        <v>-140</v>
      </c>
      <c r="D5" t="s">
        <v>37</v>
      </c>
      <c r="E5">
        <f>(100.6+101.8)/2</f>
        <v>101.19999999999999</v>
      </c>
    </row>
    <row r="6" spans="1:5" x14ac:dyDescent="0.35">
      <c r="A6" t="s">
        <v>23</v>
      </c>
      <c r="B6">
        <f>(-111.9-113.2)/2</f>
        <v>-112.55000000000001</v>
      </c>
      <c r="D6" t="s">
        <v>38</v>
      </c>
      <c r="E6">
        <v>96.5</v>
      </c>
    </row>
    <row r="7" spans="1:5" x14ac:dyDescent="0.35">
      <c r="A7" t="s">
        <v>24</v>
      </c>
      <c r="B7">
        <v>-90.7</v>
      </c>
      <c r="D7" t="s">
        <v>39</v>
      </c>
      <c r="E7">
        <f>(91+91.6)/2</f>
        <v>91.3</v>
      </c>
    </row>
    <row r="8" spans="1:5" x14ac:dyDescent="0.35">
      <c r="A8" t="s">
        <v>25</v>
      </c>
      <c r="B8">
        <f>(-73.1-74.1)/2</f>
        <v>-73.599999999999994</v>
      </c>
      <c r="D8" t="s">
        <v>40</v>
      </c>
      <c r="E8">
        <f>(88.5+88.1)/2</f>
        <v>88.3</v>
      </c>
    </row>
    <row r="9" spans="1:5" x14ac:dyDescent="0.35">
      <c r="A9" t="s">
        <v>26</v>
      </c>
      <c r="B9">
        <v>-57</v>
      </c>
      <c r="D9" t="s">
        <v>41</v>
      </c>
      <c r="E9">
        <v>84.1</v>
      </c>
    </row>
    <row r="10" spans="1:5" x14ac:dyDescent="0.35">
      <c r="A10" t="s">
        <v>27</v>
      </c>
      <c r="B10">
        <f>(-39.3-38.8)/2</f>
        <v>-39.049999999999997</v>
      </c>
      <c r="D10" t="s">
        <v>42</v>
      </c>
      <c r="E10">
        <f>(80.2+81)/2</f>
        <v>80.599999999999994</v>
      </c>
    </row>
    <row r="11" spans="1:5" x14ac:dyDescent="0.35">
      <c r="A11" t="s">
        <v>28</v>
      </c>
      <c r="B11">
        <f>(-25.6-24.5)/2</f>
        <v>-25.05</v>
      </c>
      <c r="D11" t="s">
        <v>43</v>
      </c>
      <c r="E11">
        <f>(76.2+77.3)/2</f>
        <v>76.75</v>
      </c>
    </row>
    <row r="12" spans="1:5" x14ac:dyDescent="0.35">
      <c r="A12" t="s">
        <v>29</v>
      </c>
      <c r="B12">
        <v>-8.6</v>
      </c>
      <c r="D12" t="s">
        <v>44</v>
      </c>
      <c r="E12">
        <f>(72.5+72.9)/2</f>
        <v>72.7</v>
      </c>
    </row>
    <row r="13" spans="1:5" x14ac:dyDescent="0.35">
      <c r="A13" t="s">
        <v>30</v>
      </c>
      <c r="B13">
        <f>(4.8+4.2)/2</f>
        <v>4.5</v>
      </c>
      <c r="D13" t="s">
        <v>45</v>
      </c>
      <c r="E13">
        <f>(69+68.5)/2</f>
        <v>68.75</v>
      </c>
    </row>
    <row r="14" spans="1:5" x14ac:dyDescent="0.35">
      <c r="A14" t="s">
        <v>31</v>
      </c>
      <c r="B14">
        <f>(17.1+16.5)/2</f>
        <v>16.8</v>
      </c>
      <c r="D14" t="s">
        <v>46</v>
      </c>
      <c r="E14">
        <f>(63.5+63.9)/2</f>
        <v>63.7</v>
      </c>
    </row>
    <row r="15" spans="1:5" x14ac:dyDescent="0.35">
      <c r="A15" t="s">
        <v>32</v>
      </c>
      <c r="B15">
        <f>(29.1+28.5)/2</f>
        <v>28.8</v>
      </c>
    </row>
    <row r="16" spans="1:5" x14ac:dyDescent="0.35">
      <c r="A16" t="s">
        <v>33</v>
      </c>
      <c r="B16">
        <f>(46.4+47.1)/2</f>
        <v>46.75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A84E-E602-4685-90ED-3383E14BC197}">
  <dimension ref="A1:J16"/>
  <sheetViews>
    <sheetView workbookViewId="0">
      <selection activeCell="B2" sqref="B2"/>
    </sheetView>
  </sheetViews>
  <sheetFormatPr defaultRowHeight="15.5" x14ac:dyDescent="0.35"/>
  <cols>
    <col min="1" max="1" width="14.58203125" bestFit="1" customWidth="1"/>
    <col min="4" max="4" width="15" bestFit="1" customWidth="1"/>
  </cols>
  <sheetData>
    <row r="1" spans="1:10" x14ac:dyDescent="0.35">
      <c r="A1" t="s">
        <v>48</v>
      </c>
      <c r="D1" t="s">
        <v>47</v>
      </c>
    </row>
    <row r="2" spans="1:10" x14ac:dyDescent="0.35">
      <c r="A2" t="s">
        <v>19</v>
      </c>
      <c r="B2">
        <v>-172.75</v>
      </c>
      <c r="D2" t="s">
        <v>34</v>
      </c>
      <c r="E2">
        <f>AVERAGE(I2,J2)</f>
        <v>168.4</v>
      </c>
      <c r="I2">
        <v>170</v>
      </c>
      <c r="J2">
        <v>166.8</v>
      </c>
    </row>
    <row r="3" spans="1:10" x14ac:dyDescent="0.35">
      <c r="A3" t="s">
        <v>20</v>
      </c>
      <c r="B3">
        <v>-409.45</v>
      </c>
      <c r="D3" t="s">
        <v>35</v>
      </c>
      <c r="E3">
        <f t="shared" ref="E3:E14" si="0">AVERAGE(I3,J3)</f>
        <v>138.4</v>
      </c>
      <c r="I3">
        <v>135.80000000000001</v>
      </c>
      <c r="J3">
        <v>141</v>
      </c>
    </row>
    <row r="4" spans="1:10" x14ac:dyDescent="0.35">
      <c r="A4" t="s">
        <v>21</v>
      </c>
      <c r="B4">
        <v>-189.35</v>
      </c>
      <c r="D4" t="s">
        <v>36</v>
      </c>
      <c r="E4">
        <f t="shared" si="0"/>
        <v>121.8</v>
      </c>
      <c r="I4">
        <v>122.3</v>
      </c>
      <c r="J4">
        <v>121.3</v>
      </c>
    </row>
    <row r="5" spans="1:10" x14ac:dyDescent="0.35">
      <c r="A5" t="s">
        <v>22</v>
      </c>
      <c r="B5">
        <v>-143.19999999999999</v>
      </c>
      <c r="D5" t="s">
        <v>37</v>
      </c>
      <c r="E5">
        <f t="shared" si="0"/>
        <v>111.9</v>
      </c>
      <c r="I5">
        <v>113.6</v>
      </c>
      <c r="J5">
        <v>110.2</v>
      </c>
    </row>
    <row r="6" spans="1:10" x14ac:dyDescent="0.35">
      <c r="A6" t="s">
        <v>23</v>
      </c>
      <c r="B6">
        <v>-110.75</v>
      </c>
      <c r="D6" t="s">
        <v>38</v>
      </c>
      <c r="E6">
        <f t="shared" si="0"/>
        <v>106.6</v>
      </c>
      <c r="I6">
        <v>107.1</v>
      </c>
      <c r="J6">
        <v>106.1</v>
      </c>
    </row>
    <row r="7" spans="1:10" x14ac:dyDescent="0.35">
      <c r="A7" t="s">
        <v>24</v>
      </c>
      <c r="B7">
        <v>-86.25</v>
      </c>
      <c r="D7" t="s">
        <v>39</v>
      </c>
      <c r="E7">
        <f t="shared" si="0"/>
        <v>99.75</v>
      </c>
      <c r="I7">
        <v>99.1</v>
      </c>
      <c r="J7">
        <v>100.4</v>
      </c>
    </row>
    <row r="8" spans="1:10" x14ac:dyDescent="0.35">
      <c r="A8" t="s">
        <v>25</v>
      </c>
      <c r="B8">
        <v>-65.75</v>
      </c>
      <c r="D8" t="s">
        <v>40</v>
      </c>
      <c r="E8">
        <f t="shared" si="0"/>
        <v>96.6</v>
      </c>
      <c r="I8">
        <v>96.1</v>
      </c>
      <c r="J8">
        <v>97.1</v>
      </c>
    </row>
    <row r="9" spans="1:10" x14ac:dyDescent="0.35">
      <c r="A9" t="s">
        <v>26</v>
      </c>
      <c r="B9">
        <v>-46.65</v>
      </c>
      <c r="D9" t="s">
        <v>41</v>
      </c>
      <c r="E9">
        <f t="shared" si="0"/>
        <v>90.65</v>
      </c>
      <c r="I9">
        <v>91.3</v>
      </c>
      <c r="J9">
        <v>90</v>
      </c>
    </row>
    <row r="10" spans="1:10" x14ac:dyDescent="0.35">
      <c r="A10" t="s">
        <v>27</v>
      </c>
      <c r="B10">
        <v>-26.85</v>
      </c>
      <c r="D10" t="s">
        <v>42</v>
      </c>
      <c r="E10">
        <f t="shared" si="0"/>
        <v>86.7</v>
      </c>
      <c r="I10">
        <v>87.4</v>
      </c>
      <c r="J10">
        <v>86</v>
      </c>
    </row>
    <row r="11" spans="1:10" x14ac:dyDescent="0.35">
      <c r="A11" t="s">
        <v>28</v>
      </c>
      <c r="B11">
        <v>-11.5</v>
      </c>
      <c r="D11" t="s">
        <v>43</v>
      </c>
      <c r="E11">
        <f t="shared" si="0"/>
        <v>82.3</v>
      </c>
      <c r="I11">
        <v>83</v>
      </c>
      <c r="J11">
        <v>81.599999999999994</v>
      </c>
    </row>
    <row r="12" spans="1:10" x14ac:dyDescent="0.35">
      <c r="A12" t="s">
        <v>29</v>
      </c>
      <c r="B12">
        <v>4.2</v>
      </c>
      <c r="D12" t="s">
        <v>44</v>
      </c>
      <c r="E12">
        <f t="shared" si="0"/>
        <v>77.05</v>
      </c>
      <c r="I12">
        <v>78</v>
      </c>
      <c r="J12">
        <v>76.099999999999994</v>
      </c>
    </row>
    <row r="13" spans="1:10" x14ac:dyDescent="0.35">
      <c r="A13" t="s">
        <v>30</v>
      </c>
      <c r="B13">
        <v>14.85</v>
      </c>
      <c r="D13" t="s">
        <v>45</v>
      </c>
      <c r="E13">
        <f t="shared" si="0"/>
        <v>72.05</v>
      </c>
      <c r="I13">
        <v>72.599999999999994</v>
      </c>
      <c r="J13">
        <v>71.5</v>
      </c>
    </row>
    <row r="14" spans="1:10" x14ac:dyDescent="0.35">
      <c r="A14" t="s">
        <v>31</v>
      </c>
      <c r="B14">
        <v>23.65</v>
      </c>
      <c r="D14" t="s">
        <v>46</v>
      </c>
      <c r="E14">
        <f t="shared" si="0"/>
        <v>65.7</v>
      </c>
      <c r="I14">
        <v>65</v>
      </c>
      <c r="J14">
        <v>66.400000000000006</v>
      </c>
    </row>
    <row r="15" spans="1:10" x14ac:dyDescent="0.35">
      <c r="A15" t="s">
        <v>32</v>
      </c>
      <c r="B15">
        <v>30.7</v>
      </c>
    </row>
    <row r="16" spans="1:10" x14ac:dyDescent="0.35">
      <c r="A16" t="s">
        <v>33</v>
      </c>
      <c r="B16">
        <v>39.700000000000003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CBE7-4259-4FC7-9ADA-EB617B59F91E}">
  <dimension ref="A1:I16"/>
  <sheetViews>
    <sheetView workbookViewId="0">
      <selection activeCell="D1" sqref="D1:D1048576"/>
    </sheetView>
  </sheetViews>
  <sheetFormatPr defaultRowHeight="15.5" x14ac:dyDescent="0.35"/>
  <cols>
    <col min="1" max="1" width="14.58203125" bestFit="1" customWidth="1"/>
    <col min="4" max="4" width="15" bestFit="1" customWidth="1"/>
    <col min="13" max="13" width="14.58203125" bestFit="1" customWidth="1"/>
    <col min="16" max="16" width="15" bestFit="1" customWidth="1"/>
  </cols>
  <sheetData>
    <row r="1" spans="1:9" x14ac:dyDescent="0.35">
      <c r="A1" t="s">
        <v>48</v>
      </c>
      <c r="B1" t="s">
        <v>49</v>
      </c>
      <c r="D1" t="s">
        <v>47</v>
      </c>
    </row>
    <row r="2" spans="1:9" x14ac:dyDescent="0.35">
      <c r="A2" t="s">
        <v>19</v>
      </c>
      <c r="B2">
        <v>62.3</v>
      </c>
      <c r="D2" t="s">
        <v>34</v>
      </c>
      <c r="E2">
        <v>133.5</v>
      </c>
    </row>
    <row r="3" spans="1:9" x14ac:dyDescent="0.35">
      <c r="A3" t="s">
        <v>20</v>
      </c>
      <c r="B3">
        <v>-90.7</v>
      </c>
      <c r="D3" t="s">
        <v>35</v>
      </c>
      <c r="E3">
        <v>111.5</v>
      </c>
    </row>
    <row r="4" spans="1:9" x14ac:dyDescent="0.35">
      <c r="A4" t="s">
        <v>21</v>
      </c>
      <c r="B4">
        <v>-88.2</v>
      </c>
      <c r="D4" t="s">
        <v>36</v>
      </c>
      <c r="E4">
        <v>98</v>
      </c>
    </row>
    <row r="5" spans="1:9" x14ac:dyDescent="0.35">
      <c r="A5" t="s">
        <v>22</v>
      </c>
      <c r="B5">
        <v>-86.1</v>
      </c>
      <c r="D5" t="s">
        <v>37</v>
      </c>
      <c r="E5">
        <f t="shared" ref="E2:E13" si="0">AVERAGE(H5,I5)</f>
        <v>88.5</v>
      </c>
      <c r="H5">
        <v>88.5</v>
      </c>
      <c r="I5">
        <v>88.5</v>
      </c>
    </row>
    <row r="6" spans="1:9" x14ac:dyDescent="0.35">
      <c r="A6" t="s">
        <v>23</v>
      </c>
      <c r="B6">
        <v>-85</v>
      </c>
      <c r="D6" t="s">
        <v>38</v>
      </c>
      <c r="E6">
        <f>AVERAGE(H6,I6)</f>
        <v>82.65</v>
      </c>
      <c r="H6">
        <v>82</v>
      </c>
      <c r="I6">
        <v>83.3</v>
      </c>
    </row>
    <row r="7" spans="1:9" x14ac:dyDescent="0.35">
      <c r="A7" t="s">
        <v>24</v>
      </c>
      <c r="B7">
        <v>-84.1</v>
      </c>
      <c r="D7" t="s">
        <v>39</v>
      </c>
      <c r="E7">
        <f t="shared" si="0"/>
        <v>77.449999999999989</v>
      </c>
      <c r="H7">
        <v>77.8</v>
      </c>
      <c r="I7">
        <v>77.099999999999994</v>
      </c>
    </row>
    <row r="8" spans="1:9" x14ac:dyDescent="0.35">
      <c r="A8" t="s">
        <v>25</v>
      </c>
      <c r="B8">
        <v>-82.7</v>
      </c>
      <c r="D8" t="s">
        <v>40</v>
      </c>
      <c r="E8">
        <f t="shared" si="0"/>
        <v>72.599999999999994</v>
      </c>
      <c r="H8">
        <v>73.099999999999994</v>
      </c>
      <c r="I8">
        <v>72.099999999999994</v>
      </c>
    </row>
    <row r="9" spans="1:9" x14ac:dyDescent="0.35">
      <c r="A9" t="s">
        <v>26</v>
      </c>
      <c r="B9">
        <v>-80.599999999999994</v>
      </c>
      <c r="D9" t="s">
        <v>41</v>
      </c>
      <c r="E9">
        <f t="shared" si="0"/>
        <v>65.650000000000006</v>
      </c>
      <c r="H9">
        <v>64.8</v>
      </c>
      <c r="I9">
        <v>66.5</v>
      </c>
    </row>
    <row r="10" spans="1:9" x14ac:dyDescent="0.35">
      <c r="A10" t="s">
        <v>27</v>
      </c>
      <c r="B10">
        <v>-73.400000000000006</v>
      </c>
      <c r="D10" t="s">
        <v>42</v>
      </c>
      <c r="E10">
        <f t="shared" si="0"/>
        <v>61.7</v>
      </c>
      <c r="H10">
        <v>61.3</v>
      </c>
      <c r="I10">
        <v>62.1</v>
      </c>
    </row>
    <row r="11" spans="1:9" x14ac:dyDescent="0.35">
      <c r="A11" t="s">
        <v>28</v>
      </c>
      <c r="B11">
        <v>-71.2</v>
      </c>
      <c r="D11" t="s">
        <v>43</v>
      </c>
      <c r="E11">
        <f t="shared" si="0"/>
        <v>55.35</v>
      </c>
      <c r="H11">
        <v>56.1</v>
      </c>
      <c r="I11">
        <v>54.6</v>
      </c>
    </row>
    <row r="12" spans="1:9" x14ac:dyDescent="0.35">
      <c r="A12" t="s">
        <v>29</v>
      </c>
      <c r="B12">
        <v>-63.9</v>
      </c>
      <c r="D12" t="s">
        <v>44</v>
      </c>
      <c r="E12">
        <f t="shared" si="0"/>
        <v>48.45</v>
      </c>
      <c r="H12">
        <v>49.5</v>
      </c>
      <c r="I12">
        <v>47.4</v>
      </c>
    </row>
    <row r="13" spans="1:9" x14ac:dyDescent="0.35">
      <c r="A13" t="s">
        <v>30</v>
      </c>
      <c r="B13">
        <v>-60.1</v>
      </c>
      <c r="D13" t="s">
        <v>45</v>
      </c>
      <c r="E13">
        <f t="shared" si="0"/>
        <v>40.65</v>
      </c>
      <c r="H13">
        <v>41.8</v>
      </c>
      <c r="I13">
        <v>39.5</v>
      </c>
    </row>
    <row r="14" spans="1:9" x14ac:dyDescent="0.35">
      <c r="A14" t="s">
        <v>31</v>
      </c>
      <c r="B14">
        <v>-55.1</v>
      </c>
      <c r="D14" t="s">
        <v>46</v>
      </c>
      <c r="E14">
        <f>AVERAGE(H14,I14)</f>
        <v>30.75</v>
      </c>
      <c r="H14">
        <v>32</v>
      </c>
      <c r="I14">
        <v>29.5</v>
      </c>
    </row>
    <row r="15" spans="1:9" x14ac:dyDescent="0.35">
      <c r="A15" t="s">
        <v>32</v>
      </c>
      <c r="B15">
        <v>-44.5</v>
      </c>
    </row>
    <row r="16" spans="1:9" x14ac:dyDescent="0.35">
      <c r="A16" t="s">
        <v>33</v>
      </c>
      <c r="B16">
        <v>-23.3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939A7-324E-4E35-92B7-94FAFBC72195}">
  <dimension ref="A1:E16"/>
  <sheetViews>
    <sheetView workbookViewId="0">
      <selection activeCell="C13" sqref="C13"/>
    </sheetView>
  </sheetViews>
  <sheetFormatPr defaultRowHeight="15.5" x14ac:dyDescent="0.35"/>
  <cols>
    <col min="1" max="1" width="14.58203125" bestFit="1" customWidth="1"/>
    <col min="4" max="4" width="15" bestFit="1" customWidth="1"/>
  </cols>
  <sheetData>
    <row r="1" spans="1:5" x14ac:dyDescent="0.35">
      <c r="A1" t="s">
        <v>48</v>
      </c>
      <c r="D1" t="s">
        <v>47</v>
      </c>
    </row>
    <row r="2" spans="1:5" x14ac:dyDescent="0.35">
      <c r="A2" t="s">
        <v>19</v>
      </c>
      <c r="B2">
        <v>36.1</v>
      </c>
      <c r="D2" t="s">
        <v>34</v>
      </c>
      <c r="E2">
        <v>123.1</v>
      </c>
    </row>
    <row r="3" spans="1:5" x14ac:dyDescent="0.35">
      <c r="A3" t="s">
        <v>20</v>
      </c>
      <c r="B3">
        <v>-220.3</v>
      </c>
      <c r="D3" t="s">
        <v>35</v>
      </c>
      <c r="E3">
        <v>101.2</v>
      </c>
    </row>
    <row r="4" spans="1:5" x14ac:dyDescent="0.35">
      <c r="A4" t="s">
        <v>21</v>
      </c>
      <c r="B4">
        <v>-179.4</v>
      </c>
      <c r="D4" t="s">
        <v>36</v>
      </c>
      <c r="E4">
        <v>90.2</v>
      </c>
    </row>
    <row r="5" spans="1:5" x14ac:dyDescent="0.35">
      <c r="A5" t="s">
        <v>22</v>
      </c>
      <c r="B5">
        <v>-134.5</v>
      </c>
      <c r="D5" t="s">
        <v>37</v>
      </c>
      <c r="E5">
        <v>83.9</v>
      </c>
    </row>
    <row r="6" spans="1:5" x14ac:dyDescent="0.35">
      <c r="A6" t="s">
        <v>23</v>
      </c>
      <c r="B6">
        <v>-94.3</v>
      </c>
      <c r="D6" t="s">
        <v>38</v>
      </c>
      <c r="E6">
        <v>80.900000000000006</v>
      </c>
    </row>
    <row r="7" spans="1:5" x14ac:dyDescent="0.35">
      <c r="A7" t="s">
        <v>24</v>
      </c>
      <c r="B7">
        <v>-81.099999999999994</v>
      </c>
      <c r="D7" t="s">
        <v>39</v>
      </c>
      <c r="E7">
        <v>77.5</v>
      </c>
    </row>
    <row r="8" spans="1:5" x14ac:dyDescent="0.35">
      <c r="A8" t="s">
        <v>25</v>
      </c>
      <c r="B8">
        <v>-69.5</v>
      </c>
      <c r="D8" t="s">
        <v>40</v>
      </c>
      <c r="E8">
        <v>75.2</v>
      </c>
    </row>
    <row r="9" spans="1:5" x14ac:dyDescent="0.35">
      <c r="A9" t="s">
        <v>26</v>
      </c>
      <c r="B9">
        <v>-56.8</v>
      </c>
      <c r="D9" t="s">
        <v>41</v>
      </c>
      <c r="E9">
        <v>71.400000000000006</v>
      </c>
    </row>
    <row r="10" spans="1:5" x14ac:dyDescent="0.35">
      <c r="A10" t="s">
        <v>27</v>
      </c>
      <c r="B10">
        <v>-40.9</v>
      </c>
      <c r="D10" t="s">
        <v>42</v>
      </c>
      <c r="E10">
        <v>70.3</v>
      </c>
    </row>
    <row r="11" spans="1:5" x14ac:dyDescent="0.35">
      <c r="A11" t="s">
        <v>28</v>
      </c>
      <c r="B11">
        <v>-29.5</v>
      </c>
      <c r="D11" t="s">
        <v>43</v>
      </c>
      <c r="E11">
        <v>68.2</v>
      </c>
    </row>
    <row r="12" spans="1:5" x14ac:dyDescent="0.35">
      <c r="A12" t="s">
        <v>29</v>
      </c>
      <c r="B12">
        <v>-13.9</v>
      </c>
      <c r="D12" t="s">
        <v>44</v>
      </c>
      <c r="E12">
        <v>65.3</v>
      </c>
    </row>
    <row r="13" spans="1:5" x14ac:dyDescent="0.35">
      <c r="A13" t="s">
        <v>30</v>
      </c>
      <c r="B13">
        <v>-3.2</v>
      </c>
      <c r="D13" t="s">
        <v>45</v>
      </c>
      <c r="E13">
        <v>62.9</v>
      </c>
    </row>
    <row r="14" spans="1:5" x14ac:dyDescent="0.35">
      <c r="A14" t="s">
        <v>31</v>
      </c>
      <c r="B14">
        <v>8.6999999999999993</v>
      </c>
      <c r="D14" t="s">
        <v>46</v>
      </c>
      <c r="E14">
        <v>60.3</v>
      </c>
    </row>
    <row r="15" spans="1:5" x14ac:dyDescent="0.35">
      <c r="A15" t="s">
        <v>32</v>
      </c>
      <c r="B15">
        <v>21.7</v>
      </c>
    </row>
    <row r="16" spans="1:5" x14ac:dyDescent="0.35">
      <c r="A16" t="s">
        <v>33</v>
      </c>
      <c r="B16">
        <v>50.2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5C812-A74B-4A88-84C5-62E0A7EA9A8B}">
  <dimension ref="A1:E16"/>
  <sheetViews>
    <sheetView workbookViewId="0">
      <selection activeCell="G5" sqref="G5"/>
    </sheetView>
  </sheetViews>
  <sheetFormatPr defaultRowHeight="15.5" x14ac:dyDescent="0.35"/>
  <cols>
    <col min="1" max="1" width="14.58203125" bestFit="1" customWidth="1"/>
    <col min="4" max="4" width="15" bestFit="1" customWidth="1"/>
  </cols>
  <sheetData>
    <row r="1" spans="1:5" x14ac:dyDescent="0.35">
      <c r="A1" t="s">
        <v>48</v>
      </c>
      <c r="D1" t="s">
        <v>47</v>
      </c>
    </row>
    <row r="2" spans="1:5" x14ac:dyDescent="0.35">
      <c r="A2" t="s">
        <v>19</v>
      </c>
      <c r="B2">
        <v>109.8</v>
      </c>
      <c r="D2" t="s">
        <v>34</v>
      </c>
      <c r="E2">
        <v>95.7</v>
      </c>
    </row>
    <row r="3" spans="1:5" x14ac:dyDescent="0.35">
      <c r="A3" t="s">
        <v>20</v>
      </c>
      <c r="B3">
        <v>-181.5</v>
      </c>
      <c r="D3" t="s">
        <v>35</v>
      </c>
      <c r="E3">
        <v>77.900000000000006</v>
      </c>
    </row>
    <row r="4" spans="1:5" x14ac:dyDescent="0.35">
      <c r="A4" t="s">
        <v>21</v>
      </c>
      <c r="B4">
        <v>-143.4</v>
      </c>
      <c r="D4" t="s">
        <v>36</v>
      </c>
      <c r="E4">
        <v>69.5</v>
      </c>
    </row>
    <row r="5" spans="1:5" x14ac:dyDescent="0.35">
      <c r="A5" t="s">
        <v>22</v>
      </c>
      <c r="B5">
        <v>-116.8</v>
      </c>
      <c r="D5" t="s">
        <v>37</v>
      </c>
      <c r="E5">
        <v>66.900000000000006</v>
      </c>
    </row>
    <row r="6" spans="1:5" x14ac:dyDescent="0.35">
      <c r="A6" t="s">
        <v>23</v>
      </c>
      <c r="B6">
        <v>-98.9</v>
      </c>
      <c r="D6" t="s">
        <v>38</v>
      </c>
      <c r="E6">
        <v>64.5</v>
      </c>
    </row>
    <row r="7" spans="1:5" x14ac:dyDescent="0.35">
      <c r="A7" t="s">
        <v>24</v>
      </c>
      <c r="B7">
        <v>-82.6</v>
      </c>
      <c r="D7" t="s">
        <v>39</v>
      </c>
      <c r="E7">
        <v>63</v>
      </c>
    </row>
    <row r="8" spans="1:5" x14ac:dyDescent="0.35">
      <c r="A8" t="s">
        <v>25</v>
      </c>
      <c r="B8">
        <v>-68.2</v>
      </c>
      <c r="D8" t="s">
        <v>40</v>
      </c>
      <c r="E8">
        <v>61.2</v>
      </c>
    </row>
    <row r="9" spans="1:5" x14ac:dyDescent="0.35">
      <c r="A9" t="s">
        <v>26</v>
      </c>
      <c r="B9">
        <v>-54.1</v>
      </c>
      <c r="D9" t="s">
        <v>41</v>
      </c>
      <c r="E9">
        <v>60.1</v>
      </c>
    </row>
    <row r="10" spans="1:5" x14ac:dyDescent="0.35">
      <c r="A10" t="s">
        <v>27</v>
      </c>
      <c r="B10">
        <v>-40.1</v>
      </c>
      <c r="D10" t="s">
        <v>42</v>
      </c>
      <c r="E10">
        <v>59.7</v>
      </c>
    </row>
    <row r="11" spans="1:5" x14ac:dyDescent="0.35">
      <c r="A11" t="s">
        <v>28</v>
      </c>
      <c r="B11">
        <v>-30.8</v>
      </c>
      <c r="D11" t="s">
        <v>43</v>
      </c>
      <c r="E11">
        <v>57.5</v>
      </c>
    </row>
    <row r="12" spans="1:5" x14ac:dyDescent="0.35">
      <c r="A12" t="s">
        <v>29</v>
      </c>
      <c r="B12">
        <v>-16.3</v>
      </c>
      <c r="D12" t="s">
        <v>44</v>
      </c>
      <c r="E12">
        <v>56.6</v>
      </c>
    </row>
    <row r="13" spans="1:5" x14ac:dyDescent="0.35">
      <c r="A13" t="s">
        <v>30</v>
      </c>
      <c r="B13">
        <v>-6.8</v>
      </c>
      <c r="D13" t="s">
        <v>45</v>
      </c>
      <c r="E13">
        <v>54.3</v>
      </c>
    </row>
    <row r="14" spans="1:5" x14ac:dyDescent="0.35">
      <c r="A14" t="s">
        <v>31</v>
      </c>
      <c r="B14">
        <v>2.9</v>
      </c>
      <c r="D14" t="s">
        <v>46</v>
      </c>
      <c r="E14">
        <v>53.3</v>
      </c>
    </row>
    <row r="15" spans="1:5" x14ac:dyDescent="0.35">
      <c r="A15" t="s">
        <v>32</v>
      </c>
      <c r="B15">
        <v>15.6</v>
      </c>
    </row>
    <row r="16" spans="1:5" x14ac:dyDescent="0.35">
      <c r="A16" t="s">
        <v>33</v>
      </c>
      <c r="B16">
        <v>46.7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B164-BE1B-41B7-95B2-12326C4BBB67}">
  <dimension ref="A1:E16"/>
  <sheetViews>
    <sheetView tabSelected="1" workbookViewId="0">
      <selection activeCell="F1" sqref="F1"/>
    </sheetView>
  </sheetViews>
  <sheetFormatPr defaultRowHeight="15.5" x14ac:dyDescent="0.35"/>
  <cols>
    <col min="1" max="1" width="14.58203125" bestFit="1" customWidth="1"/>
    <col min="4" max="4" width="15" bestFit="1" customWidth="1"/>
  </cols>
  <sheetData>
    <row r="1" spans="1:5" x14ac:dyDescent="0.35">
      <c r="A1" t="s">
        <v>48</v>
      </c>
      <c r="D1" t="s">
        <v>47</v>
      </c>
    </row>
    <row r="2" spans="1:5" x14ac:dyDescent="0.35">
      <c r="A2" t="s">
        <v>19</v>
      </c>
      <c r="B2">
        <v>154.6</v>
      </c>
      <c r="D2" t="s">
        <v>34</v>
      </c>
      <c r="E2">
        <v>64.8</v>
      </c>
    </row>
    <row r="3" spans="1:5" x14ac:dyDescent="0.35">
      <c r="A3" t="s">
        <v>20</v>
      </c>
      <c r="B3">
        <v>-141.1</v>
      </c>
      <c r="D3" t="s">
        <v>35</v>
      </c>
      <c r="E3">
        <v>54.5</v>
      </c>
    </row>
    <row r="4" spans="1:5" x14ac:dyDescent="0.35">
      <c r="A4" t="s">
        <v>21</v>
      </c>
      <c r="B4">
        <v>-119.1</v>
      </c>
      <c r="D4" t="s">
        <v>36</v>
      </c>
      <c r="E4">
        <v>49.9</v>
      </c>
    </row>
    <row r="5" spans="1:5" x14ac:dyDescent="0.35">
      <c r="A5" t="s">
        <v>22</v>
      </c>
      <c r="B5">
        <v>-97.5</v>
      </c>
      <c r="D5" t="s">
        <v>37</v>
      </c>
      <c r="E5">
        <v>48.9</v>
      </c>
    </row>
    <row r="6" spans="1:5" x14ac:dyDescent="0.35">
      <c r="A6" t="s">
        <v>23</v>
      </c>
      <c r="B6">
        <v>-83.5</v>
      </c>
      <c r="D6" t="s">
        <v>38</v>
      </c>
      <c r="E6">
        <v>48.3</v>
      </c>
    </row>
    <row r="7" spans="1:5" x14ac:dyDescent="0.35">
      <c r="A7" t="s">
        <v>24</v>
      </c>
      <c r="B7">
        <v>-73.900000000000006</v>
      </c>
      <c r="D7" t="s">
        <v>39</v>
      </c>
      <c r="E7">
        <v>49</v>
      </c>
    </row>
    <row r="8" spans="1:5" x14ac:dyDescent="0.35">
      <c r="A8" t="s">
        <v>25</v>
      </c>
      <c r="B8">
        <v>-65.400000000000006</v>
      </c>
      <c r="D8" t="s">
        <v>40</v>
      </c>
      <c r="E8">
        <v>48.9</v>
      </c>
    </row>
    <row r="9" spans="1:5" x14ac:dyDescent="0.35">
      <c r="A9" t="s">
        <v>26</v>
      </c>
      <c r="B9">
        <v>-56.9</v>
      </c>
      <c r="D9" t="s">
        <v>41</v>
      </c>
      <c r="E9">
        <v>48.3</v>
      </c>
    </row>
    <row r="10" spans="1:5" x14ac:dyDescent="0.35">
      <c r="A10" t="s">
        <v>27</v>
      </c>
      <c r="B10">
        <v>-46.5</v>
      </c>
      <c r="D10" t="s">
        <v>42</v>
      </c>
      <c r="E10">
        <v>48.9</v>
      </c>
    </row>
    <row r="11" spans="1:5" x14ac:dyDescent="0.35">
      <c r="A11" t="s">
        <v>28</v>
      </c>
      <c r="B11">
        <v>-34.4</v>
      </c>
      <c r="D11" t="s">
        <v>43</v>
      </c>
      <c r="E11">
        <v>47.5</v>
      </c>
    </row>
    <row r="12" spans="1:5" x14ac:dyDescent="0.35">
      <c r="A12" t="s">
        <v>29</v>
      </c>
      <c r="B12">
        <v>-17.3</v>
      </c>
      <c r="D12" t="s">
        <v>44</v>
      </c>
      <c r="E12">
        <v>47.2</v>
      </c>
    </row>
    <row r="13" spans="1:5" x14ac:dyDescent="0.35">
      <c r="A13" t="s">
        <v>30</v>
      </c>
      <c r="B13">
        <v>-7.5</v>
      </c>
      <c r="D13" t="s">
        <v>45</v>
      </c>
      <c r="E13">
        <v>46.5</v>
      </c>
    </row>
    <row r="14" spans="1:5" x14ac:dyDescent="0.35">
      <c r="A14" t="s">
        <v>31</v>
      </c>
      <c r="B14">
        <v>1.2</v>
      </c>
      <c r="D14" t="s">
        <v>46</v>
      </c>
      <c r="E14">
        <v>45.8</v>
      </c>
    </row>
    <row r="15" spans="1:5" x14ac:dyDescent="0.35">
      <c r="A15" t="s">
        <v>32</v>
      </c>
      <c r="B15">
        <v>11.9</v>
      </c>
    </row>
    <row r="16" spans="1:5" x14ac:dyDescent="0.35">
      <c r="A16" t="s">
        <v>33</v>
      </c>
      <c r="B16">
        <v>43.2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angle 0</vt:lpstr>
      <vt:lpstr>angle 1</vt:lpstr>
      <vt:lpstr>angle 3</vt:lpstr>
      <vt:lpstr>angle 5</vt:lpstr>
      <vt:lpstr>angle -1</vt:lpstr>
      <vt:lpstr>angle -3</vt:lpstr>
      <vt:lpstr>angle 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atotepranavdipak@gmail.com</dc:creator>
  <cp:lastModifiedBy>atotepranavdipak@gmail.com</cp:lastModifiedBy>
  <dcterms:created xsi:type="dcterms:W3CDTF">2024-09-13T08:36:33Z</dcterms:created>
  <dcterms:modified xsi:type="dcterms:W3CDTF">2024-09-13T11:54:21Z</dcterms:modified>
</cp:coreProperties>
</file>